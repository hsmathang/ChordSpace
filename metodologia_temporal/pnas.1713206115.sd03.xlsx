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028"/>
  <workbookPr showInkAnnotation="0" autoCompressPictures="0"/>
  <bookViews>
    <workbookView xWindow="2320" yWindow="0" windowWidth="30320" windowHeight="17900" tabRatio="500"/>
  </bookViews>
  <sheets>
    <sheet name="Sheet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U28" i="1" l="1"/>
  <c r="U27" i="1"/>
  <c r="U26" i="1"/>
  <c r="U25" i="1"/>
  <c r="U24" i="1"/>
  <c r="U23" i="1"/>
  <c r="U22" i="1"/>
  <c r="U21" i="1"/>
  <c r="U20" i="1"/>
  <c r="U19" i="1"/>
  <c r="U18" i="1"/>
  <c r="U17" i="1"/>
  <c r="U16" i="1"/>
  <c r="U15" i="1"/>
  <c r="U14" i="1"/>
  <c r="U13" i="1"/>
  <c r="U12" i="1"/>
  <c r="U11" i="1"/>
  <c r="U10" i="1"/>
  <c r="U9" i="1"/>
  <c r="U8" i="1"/>
  <c r="U7" i="1"/>
  <c r="U6" i="1"/>
  <c r="U5" i="1"/>
</calcChain>
</file>

<file path=xl/sharedStrings.xml><?xml version="1.0" encoding="utf-8"?>
<sst xmlns="http://schemas.openxmlformats.org/spreadsheetml/2006/main" count="127" uniqueCount="45">
  <si>
    <t>COMPARISON</t>
  </si>
  <si>
    <t>MEAN PERCEIVED CONSONANCE</t>
  </si>
  <si>
    <t>TUKEY P-VALUES</t>
  </si>
  <si>
    <t>HARMONIC SIMILARITY METRIC</t>
  </si>
  <si>
    <t>FREQUENCY INTERVALS METRIC</t>
  </si>
  <si>
    <t>Chord1 #</t>
  </si>
  <si>
    <t>Chord2 #</t>
  </si>
  <si>
    <t>Chord1 tones</t>
  </si>
  <si>
    <t>Chord2 tones</t>
  </si>
  <si>
    <t>Chord1 name</t>
  </si>
  <si>
    <t>Chord2 name</t>
  </si>
  <si>
    <t>Combined</t>
  </si>
  <si>
    <t xml:space="preserve">Musicians </t>
  </si>
  <si>
    <t>Non-musicians</t>
  </si>
  <si>
    <t>Musicians</t>
  </si>
  <si>
    <t>Chord1   score (%)</t>
  </si>
  <si>
    <t>Chord2   score (%)</t>
  </si>
  <si>
    <t>Difference (absolute)</t>
  </si>
  <si>
    <t>Chord1 min. interval (Hz)</t>
  </si>
  <si>
    <t>Chord2 min. interval (Hz)</t>
  </si>
  <si>
    <t>Chord1</t>
  </si>
  <si>
    <t>Chord2</t>
  </si>
  <si>
    <t>0 3 6</t>
  </si>
  <si>
    <t>0 3 7</t>
  </si>
  <si>
    <t xml:space="preserve">dimished (r) </t>
  </si>
  <si>
    <t xml:space="preserve">minor (r) </t>
  </si>
  <si>
    <t>0 3 8</t>
  </si>
  <si>
    <t>major (1)</t>
  </si>
  <si>
    <t>0 4 7</t>
  </si>
  <si>
    <t xml:space="preserve">major (r) </t>
  </si>
  <si>
    <t>0 5 9</t>
  </si>
  <si>
    <t>major (2)</t>
  </si>
  <si>
    <t>0 3 9</t>
  </si>
  <si>
    <t>diminished (1)</t>
  </si>
  <si>
    <t>0 4 8</t>
  </si>
  <si>
    <t>augmented</t>
  </si>
  <si>
    <t>0 6 9</t>
  </si>
  <si>
    <t>diminished (2)</t>
  </si>
  <si>
    <t>0 5 8</t>
  </si>
  <si>
    <t>minor (2)</t>
  </si>
  <si>
    <t>0 4 9</t>
  </si>
  <si>
    <t>minor (1)</t>
  </si>
  <si>
    <t xml:space="preserve">augmented </t>
  </si>
  <si>
    <t>Complete list of comparisons between the major, minor, diminished and augmented triads and their inversions. Black rows indicate significant pairwise comparisons correctpredicted by vocal similarity metrics. Red rows indicate significant pairwise comparisons incorrectly predicted by vocal similarity metrics. Format is otherwise the same as Data Set S2.</t>
  </si>
  <si>
    <t>PAIRWISE COMPARISONS FOR MAJOR, MINOR, DIMINISHED AND AUGMENTED TRIADS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</si>
</sst>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
  </numFmts>
  <fonts count="7" x14ac:knownFonts="1">
    <font>
      <sz val="12"/>
      <color theme="1"/>
      <name val="Calibri"/>
      <family val="2"/>
      <scheme val="minor"/>
    </font>
    <font>
      <b/>
      <sz val="10"/>
      <color theme="0"/>
      <name val="Times New Roman"/>
    </font>
    <font>
      <sz val="10"/>
      <color theme="1"/>
      <name val="Times New Roman"/>
    </font>
    <font>
      <sz val="10"/>
      <color rgb="FFFF0000"/>
      <name val="Times New Roman"/>
    </font>
    <font>
      <sz val="10"/>
      <color rgb="FF000000"/>
      <name val="Times New Roman"/>
    </font>
    <font>
      <sz val="10"/>
      <color theme="1"/>
      <name val="Calibri"/>
      <family val="2"/>
      <scheme val="minor"/>
    </font>
    <font>
      <b/>
      <sz val="12"/>
      <color theme="0"/>
      <name val="Times New Roman"/>
    </font>
  </fonts>
  <fills count="7">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B3"/>
        <bgColor indexed="64"/>
      </patternFill>
    </fill>
    <fill>
      <patternFill patternType="solid">
        <fgColor rgb="FFFFFFA4"/>
        <bgColor indexed="64"/>
      </patternFill>
    </fill>
    <fill>
      <patternFill patternType="solid">
        <fgColor theme="1" tint="0.249977111117893"/>
        <bgColor indexed="64"/>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cellStyleXfs>
  <cellXfs count="35">
    <xf numFmtId="0" fontId="0" fillId="0" borderId="0" xfId="0"/>
    <xf numFmtId="0" fontId="2" fillId="3" borderId="4" xfId="0" applyFont="1" applyFill="1" applyBorder="1" applyAlignment="1">
      <alignment horizontal="center" vertical="top" wrapText="1"/>
    </xf>
    <xf numFmtId="0" fontId="3" fillId="0" borderId="4" xfId="0" applyFont="1" applyFill="1" applyBorder="1" applyAlignment="1">
      <alignment horizontal="center"/>
    </xf>
    <xf numFmtId="0" fontId="3" fillId="4" borderId="4" xfId="0" applyFont="1" applyFill="1" applyBorder="1" applyAlignment="1">
      <alignment horizontal="center"/>
    </xf>
    <xf numFmtId="2" fontId="3" fillId="0" borderId="4" xfId="0" applyNumberFormat="1" applyFont="1" applyFill="1" applyBorder="1"/>
    <xf numFmtId="2" fontId="3" fillId="4" borderId="4" xfId="0" applyNumberFormat="1" applyFont="1" applyFill="1" applyBorder="1"/>
    <xf numFmtId="164" fontId="3" fillId="0" borderId="4" xfId="0" applyNumberFormat="1" applyFont="1" applyFill="1" applyBorder="1"/>
    <xf numFmtId="165" fontId="3" fillId="0" borderId="4" xfId="0" applyNumberFormat="1" applyFont="1" applyFill="1" applyBorder="1"/>
    <xf numFmtId="0" fontId="4" fillId="0" borderId="4" xfId="0" applyFont="1" applyFill="1" applyBorder="1" applyAlignment="1">
      <alignment horizontal="center"/>
    </xf>
    <xf numFmtId="0" fontId="4" fillId="4" borderId="4" xfId="0" applyFont="1" applyFill="1" applyBorder="1" applyAlignment="1">
      <alignment horizontal="center"/>
    </xf>
    <xf numFmtId="0" fontId="2" fillId="0" borderId="4" xfId="0" applyFont="1" applyFill="1" applyBorder="1" applyAlignment="1">
      <alignment horizontal="center"/>
    </xf>
    <xf numFmtId="0" fontId="2" fillId="4" borderId="4" xfId="0" applyFont="1" applyFill="1" applyBorder="1" applyAlignment="1">
      <alignment horizontal="center"/>
    </xf>
    <xf numFmtId="0" fontId="2" fillId="5" borderId="4" xfId="0" applyFont="1" applyFill="1" applyBorder="1" applyAlignment="1">
      <alignment horizontal="center"/>
    </xf>
    <xf numFmtId="2" fontId="2" fillId="0" borderId="4" xfId="0" applyNumberFormat="1" applyFont="1" applyFill="1" applyBorder="1"/>
    <xf numFmtId="2" fontId="2" fillId="4" borderId="4" xfId="0" applyNumberFormat="1" applyFont="1" applyFill="1" applyBorder="1"/>
    <xf numFmtId="164" fontId="4" fillId="0" borderId="4" xfId="0" applyNumberFormat="1" applyFont="1" applyFill="1" applyBorder="1"/>
    <xf numFmtId="165" fontId="4" fillId="0" borderId="4" xfId="0" applyNumberFormat="1" applyFont="1" applyFill="1" applyBorder="1"/>
    <xf numFmtId="0" fontId="2" fillId="3" borderId="8" xfId="0" applyFont="1" applyFill="1" applyBorder="1" applyAlignment="1">
      <alignment horizontal="center" vertical="top" wrapText="1"/>
    </xf>
    <xf numFmtId="0" fontId="2" fillId="3" borderId="9"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4" xfId="0" applyFont="1" applyFill="1" applyBorder="1" applyAlignment="1">
      <alignment horizontal="center" vertical="center" wrapText="1"/>
    </xf>
    <xf numFmtId="0" fontId="2" fillId="3" borderId="4" xfId="0" applyFont="1" applyFill="1" applyBorder="1" applyAlignment="1">
      <alignment horizontal="center"/>
    </xf>
    <xf numFmtId="0" fontId="2" fillId="3" borderId="4" xfId="0" applyFont="1" applyFill="1" applyBorder="1" applyAlignment="1">
      <alignment horizontal="center" vertical="top"/>
    </xf>
    <xf numFmtId="0" fontId="2" fillId="3" borderId="8" xfId="0" applyFont="1" applyFill="1" applyBorder="1" applyAlignment="1">
      <alignment horizontal="center" vertical="top"/>
    </xf>
    <xf numFmtId="0" fontId="2" fillId="3" borderId="9" xfId="0" applyFont="1" applyFill="1" applyBorder="1" applyAlignment="1">
      <alignment horizontal="center" vertical="top"/>
    </xf>
    <xf numFmtId="0" fontId="2" fillId="0" borderId="2" xfId="0" applyFont="1" applyBorder="1" applyAlignment="1">
      <alignment horizontal="left" vertical="top" wrapText="1"/>
    </xf>
    <xf numFmtId="0" fontId="5" fillId="0" borderId="2" xfId="0" applyFont="1" applyBorder="1" applyAlignment="1">
      <alignment horizontal="left" vertical="top" wrapText="1"/>
    </xf>
    <xf numFmtId="0" fontId="1" fillId="6" borderId="1" xfId="0" applyFont="1" applyFill="1" applyBorder="1" applyAlignment="1">
      <alignment horizontal="center" vertical="top"/>
    </xf>
    <xf numFmtId="0" fontId="1" fillId="6" borderId="2" xfId="0" applyFont="1" applyFill="1" applyBorder="1" applyAlignment="1">
      <alignment horizontal="center" vertical="top"/>
    </xf>
    <xf numFmtId="0" fontId="1" fillId="6" borderId="3" xfId="0" applyFont="1" applyFill="1" applyBorder="1" applyAlignment="1">
      <alignment horizontal="center" vertical="top"/>
    </xf>
    <xf numFmtId="0" fontId="1" fillId="6" borderId="4" xfId="0" applyFont="1" applyFill="1" applyBorder="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0" fontId="1" fillId="6" borderId="7" xfId="0" applyFont="1" applyFill="1" applyBorder="1" applyAlignment="1">
      <alignment horizontal="center" vertical="top"/>
    </xf>
    <xf numFmtId="0" fontId="6" fillId="2" borderId="10" xfId="0" applyFont="1" applyFill="1" applyBorder="1" applyAlignment="1">
      <alignment horizontal="center"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tabSelected="1" workbookViewId="0">
      <selection activeCell="H10" sqref="H10"/>
    </sheetView>
  </sheetViews>
  <sheetFormatPr baseColWidth="10" defaultRowHeight="15" x14ac:dyDescent="0"/>
  <sheetData>
    <row r="1" spans="1:21" ht="30" customHeight="1">
      <c r="A1" s="34" t="s">
        <v>44</v>
      </c>
      <c r="B1" s="34"/>
      <c r="C1" s="34"/>
      <c r="D1" s="34"/>
      <c r="E1" s="34"/>
      <c r="F1" s="34"/>
      <c r="G1" s="34"/>
      <c r="H1" s="34"/>
      <c r="I1" s="34"/>
      <c r="J1" s="34"/>
      <c r="K1" s="34"/>
      <c r="L1" s="34"/>
      <c r="M1" s="34"/>
      <c r="N1" s="34"/>
      <c r="O1" s="34"/>
      <c r="P1" s="34"/>
      <c r="Q1" s="34"/>
      <c r="R1" s="34"/>
      <c r="S1" s="34"/>
      <c r="T1" s="34"/>
      <c r="U1" s="34"/>
    </row>
    <row r="2" spans="1:21">
      <c r="A2" s="27" t="s">
        <v>0</v>
      </c>
      <c r="B2" s="28"/>
      <c r="C2" s="28"/>
      <c r="D2" s="28"/>
      <c r="E2" s="28"/>
      <c r="F2" s="29"/>
      <c r="G2" s="30" t="s">
        <v>1</v>
      </c>
      <c r="H2" s="30"/>
      <c r="I2" s="30"/>
      <c r="J2" s="30"/>
      <c r="K2" s="30"/>
      <c r="L2" s="30"/>
      <c r="M2" s="30" t="s">
        <v>2</v>
      </c>
      <c r="N2" s="30"/>
      <c r="O2" s="30"/>
      <c r="P2" s="30" t="s">
        <v>3</v>
      </c>
      <c r="Q2" s="30"/>
      <c r="R2" s="30"/>
      <c r="S2" s="31" t="s">
        <v>4</v>
      </c>
      <c r="T2" s="32"/>
      <c r="U2" s="33"/>
    </row>
    <row r="3" spans="1:21">
      <c r="A3" s="19" t="s">
        <v>5</v>
      </c>
      <c r="B3" s="19" t="s">
        <v>6</v>
      </c>
      <c r="C3" s="19" t="s">
        <v>7</v>
      </c>
      <c r="D3" s="19" t="s">
        <v>8</v>
      </c>
      <c r="E3" s="19" t="s">
        <v>9</v>
      </c>
      <c r="F3" s="19" t="s">
        <v>10</v>
      </c>
      <c r="G3" s="20" t="s">
        <v>11</v>
      </c>
      <c r="H3" s="20"/>
      <c r="I3" s="20" t="s">
        <v>12</v>
      </c>
      <c r="J3" s="20"/>
      <c r="K3" s="21" t="s">
        <v>13</v>
      </c>
      <c r="L3" s="21"/>
      <c r="M3" s="22" t="s">
        <v>11</v>
      </c>
      <c r="N3" s="23" t="s">
        <v>14</v>
      </c>
      <c r="O3" s="19" t="s">
        <v>13</v>
      </c>
      <c r="P3" s="19" t="s">
        <v>15</v>
      </c>
      <c r="Q3" s="19" t="s">
        <v>16</v>
      </c>
      <c r="R3" s="17" t="s">
        <v>17</v>
      </c>
      <c r="S3" s="19" t="s">
        <v>18</v>
      </c>
      <c r="T3" s="19" t="s">
        <v>19</v>
      </c>
      <c r="U3" s="17" t="s">
        <v>17</v>
      </c>
    </row>
    <row r="4" spans="1:21">
      <c r="A4" s="19"/>
      <c r="B4" s="19"/>
      <c r="C4" s="19"/>
      <c r="D4" s="19"/>
      <c r="E4" s="19"/>
      <c r="F4" s="19"/>
      <c r="G4" s="1" t="s">
        <v>20</v>
      </c>
      <c r="H4" s="1" t="s">
        <v>21</v>
      </c>
      <c r="I4" s="1" t="s">
        <v>20</v>
      </c>
      <c r="J4" s="1" t="s">
        <v>21</v>
      </c>
      <c r="K4" s="1" t="s">
        <v>20</v>
      </c>
      <c r="L4" s="1" t="s">
        <v>21</v>
      </c>
      <c r="M4" s="22"/>
      <c r="N4" s="24"/>
      <c r="O4" s="19"/>
      <c r="P4" s="19"/>
      <c r="Q4" s="19"/>
      <c r="R4" s="18"/>
      <c r="S4" s="19"/>
      <c r="T4" s="19"/>
      <c r="U4" s="18"/>
    </row>
    <row r="5" spans="1:21">
      <c r="A5" s="2">
        <v>24</v>
      </c>
      <c r="B5" s="3">
        <v>25</v>
      </c>
      <c r="C5" s="2" t="s">
        <v>22</v>
      </c>
      <c r="D5" s="3" t="s">
        <v>23</v>
      </c>
      <c r="E5" s="2" t="s">
        <v>24</v>
      </c>
      <c r="F5" s="3" t="s">
        <v>25</v>
      </c>
      <c r="G5" s="4">
        <v>2.3666666666666698</v>
      </c>
      <c r="H5" s="5">
        <v>3.4</v>
      </c>
      <c r="I5" s="4">
        <v>2.4666666666666699</v>
      </c>
      <c r="J5" s="5">
        <v>3.3333333333333299</v>
      </c>
      <c r="K5" s="4">
        <v>2.2666666666666702</v>
      </c>
      <c r="L5" s="5">
        <v>3.4666666666666699</v>
      </c>
      <c r="M5" s="6">
        <v>1.25101395752614E-5</v>
      </c>
      <c r="N5" s="7">
        <v>6.2963154297882504E-2</v>
      </c>
      <c r="O5" s="6">
        <v>5.4488879999999998E-3</v>
      </c>
      <c r="P5" s="4">
        <v>42.86</v>
      </c>
      <c r="Q5" s="5">
        <v>20</v>
      </c>
      <c r="R5" s="4">
        <v>22.86</v>
      </c>
      <c r="S5" s="4">
        <v>43.6</v>
      </c>
      <c r="T5" s="5">
        <v>42.43</v>
      </c>
      <c r="U5" s="4">
        <f>ABS(T5-S5)</f>
        <v>1.1700000000000017</v>
      </c>
    </row>
    <row r="6" spans="1:21">
      <c r="A6" s="2">
        <v>24</v>
      </c>
      <c r="B6" s="3">
        <v>26</v>
      </c>
      <c r="C6" s="2" t="s">
        <v>22</v>
      </c>
      <c r="D6" s="3" t="s">
        <v>26</v>
      </c>
      <c r="E6" s="2" t="s">
        <v>24</v>
      </c>
      <c r="F6" s="3" t="s">
        <v>27</v>
      </c>
      <c r="G6" s="4">
        <v>2.3666666666666698</v>
      </c>
      <c r="H6" s="5">
        <v>3.6333333333333302</v>
      </c>
      <c r="I6" s="4">
        <v>2.4666666666666699</v>
      </c>
      <c r="J6" s="5">
        <v>3.8666666666666698</v>
      </c>
      <c r="K6" s="4">
        <v>2.2666666666666702</v>
      </c>
      <c r="L6" s="5">
        <v>3.4</v>
      </c>
      <c r="M6" s="6">
        <v>1.00678824979106E-5</v>
      </c>
      <c r="N6" s="7">
        <v>1.01536230663335E-5</v>
      </c>
      <c r="O6" s="6">
        <v>1.67E-2</v>
      </c>
      <c r="P6" s="4">
        <v>42.86</v>
      </c>
      <c r="Q6" s="5">
        <v>40</v>
      </c>
      <c r="R6" s="4">
        <v>2.86</v>
      </c>
      <c r="S6" s="4">
        <v>43.6</v>
      </c>
      <c r="T6" s="5">
        <v>41.31</v>
      </c>
      <c r="U6" s="4">
        <f t="shared" ref="U6:U28" si="0">ABS(T6-S6)</f>
        <v>2.2899999999999991</v>
      </c>
    </row>
    <row r="7" spans="1:21">
      <c r="A7" s="8">
        <v>24</v>
      </c>
      <c r="B7" s="9">
        <v>33</v>
      </c>
      <c r="C7" s="10" t="s">
        <v>22</v>
      </c>
      <c r="D7" s="11" t="s">
        <v>28</v>
      </c>
      <c r="E7" s="10" t="s">
        <v>24</v>
      </c>
      <c r="F7" s="12" t="s">
        <v>29</v>
      </c>
      <c r="G7" s="13">
        <v>2.3666666666666698</v>
      </c>
      <c r="H7" s="14">
        <v>3.8</v>
      </c>
      <c r="I7" s="13">
        <v>2.4666666666666699</v>
      </c>
      <c r="J7" s="14">
        <v>3.93333333333333</v>
      </c>
      <c r="K7" s="13">
        <v>2.2666666666666702</v>
      </c>
      <c r="L7" s="14">
        <v>3.6666666666666701</v>
      </c>
      <c r="M7" s="15">
        <v>1.00677941281546E-5</v>
      </c>
      <c r="N7" s="16">
        <v>1.00763220223232E-5</v>
      </c>
      <c r="O7" s="15">
        <v>1.16E-4</v>
      </c>
      <c r="P7" s="13">
        <v>42.86</v>
      </c>
      <c r="Q7" s="14">
        <v>46.67</v>
      </c>
      <c r="R7" s="13">
        <v>3.81</v>
      </c>
      <c r="S7" s="13">
        <v>43.6</v>
      </c>
      <c r="T7" s="14">
        <v>52.329999999999899</v>
      </c>
      <c r="U7" s="13">
        <f t="shared" si="0"/>
        <v>8.7299999999998974</v>
      </c>
    </row>
    <row r="8" spans="1:21">
      <c r="A8" s="8">
        <v>24</v>
      </c>
      <c r="B8" s="9">
        <v>42</v>
      </c>
      <c r="C8" s="10" t="s">
        <v>22</v>
      </c>
      <c r="D8" s="11" t="s">
        <v>30</v>
      </c>
      <c r="E8" s="10" t="s">
        <v>24</v>
      </c>
      <c r="F8" s="11" t="s">
        <v>31</v>
      </c>
      <c r="G8" s="13">
        <v>2.3666666666666698</v>
      </c>
      <c r="H8" s="14">
        <v>3.6333333333333302</v>
      </c>
      <c r="I8" s="13">
        <v>2.4666666666666699</v>
      </c>
      <c r="J8" s="14">
        <v>3.93333333333333</v>
      </c>
      <c r="K8" s="13">
        <v>2.2666666666666702</v>
      </c>
      <c r="L8" s="14">
        <v>3.3333333333333299</v>
      </c>
      <c r="M8" s="15">
        <v>1.00678824979106E-5</v>
      </c>
      <c r="N8" s="16">
        <v>1.00763220223232E-5</v>
      </c>
      <c r="O8" s="15">
        <v>4.6100000000000002E-2</v>
      </c>
      <c r="P8" s="13">
        <v>42.86</v>
      </c>
      <c r="Q8" s="14">
        <v>60</v>
      </c>
      <c r="R8" s="13">
        <v>17.14</v>
      </c>
      <c r="S8" s="13">
        <v>43.6</v>
      </c>
      <c r="T8" s="14">
        <v>65.409999999999897</v>
      </c>
      <c r="U8" s="13">
        <f t="shared" si="0"/>
        <v>21.809999999999896</v>
      </c>
    </row>
    <row r="9" spans="1:21">
      <c r="A9" s="9">
        <v>25</v>
      </c>
      <c r="B9" s="8">
        <v>27</v>
      </c>
      <c r="C9" s="11" t="s">
        <v>23</v>
      </c>
      <c r="D9" s="10" t="s">
        <v>32</v>
      </c>
      <c r="E9" s="11" t="s">
        <v>25</v>
      </c>
      <c r="F9" s="10" t="s">
        <v>33</v>
      </c>
      <c r="G9" s="14">
        <v>3.4</v>
      </c>
      <c r="H9" s="13">
        <v>2.2333333333333298</v>
      </c>
      <c r="I9" s="14">
        <v>3.3333333333333299</v>
      </c>
      <c r="J9" s="13">
        <v>2.2666666666666702</v>
      </c>
      <c r="K9" s="14">
        <v>3.4666666666666699</v>
      </c>
      <c r="L9" s="13">
        <v>2.2000000000000002</v>
      </c>
      <c r="M9" s="15">
        <v>1.0077847483303E-5</v>
      </c>
      <c r="N9" s="16">
        <v>1.1291961948715101E-3</v>
      </c>
      <c r="O9" s="15">
        <v>1.616784E-3</v>
      </c>
      <c r="P9" s="14">
        <v>20</v>
      </c>
      <c r="Q9" s="13">
        <v>13.78</v>
      </c>
      <c r="R9" s="13">
        <v>6.22</v>
      </c>
      <c r="S9" s="14">
        <v>42.43</v>
      </c>
      <c r="T9" s="13">
        <v>40.6</v>
      </c>
      <c r="U9" s="13">
        <f t="shared" si="0"/>
        <v>1.8299999999999983</v>
      </c>
    </row>
    <row r="10" spans="1:21">
      <c r="A10" s="9">
        <v>25</v>
      </c>
      <c r="B10" s="8">
        <v>34</v>
      </c>
      <c r="C10" s="11" t="s">
        <v>23</v>
      </c>
      <c r="D10" s="10" t="s">
        <v>34</v>
      </c>
      <c r="E10" s="11" t="s">
        <v>25</v>
      </c>
      <c r="F10" s="10" t="s">
        <v>35</v>
      </c>
      <c r="G10" s="14">
        <v>3.4</v>
      </c>
      <c r="H10" s="13">
        <v>1.93333333333333</v>
      </c>
      <c r="I10" s="14">
        <v>3.3333333333333299</v>
      </c>
      <c r="J10" s="13">
        <v>1.6666666666666701</v>
      </c>
      <c r="K10" s="14">
        <v>3.4666666666666699</v>
      </c>
      <c r="L10" s="13">
        <v>2.2000000000000002</v>
      </c>
      <c r="M10" s="15">
        <v>1.0067794120271999E-5</v>
      </c>
      <c r="N10" s="16">
        <v>1.00677974141927E-5</v>
      </c>
      <c r="O10" s="15">
        <v>1.6199999999999999E-3</v>
      </c>
      <c r="P10" s="14">
        <v>20</v>
      </c>
      <c r="Q10" s="13">
        <v>10.5</v>
      </c>
      <c r="R10" s="13">
        <v>9.5</v>
      </c>
      <c r="S10" s="14">
        <v>42.43</v>
      </c>
      <c r="T10" s="13">
        <v>50.96</v>
      </c>
      <c r="U10" s="13">
        <f t="shared" si="0"/>
        <v>8.5300000000000011</v>
      </c>
    </row>
    <row r="11" spans="1:21">
      <c r="A11" s="9">
        <v>25</v>
      </c>
      <c r="B11" s="8">
        <v>48</v>
      </c>
      <c r="C11" s="11" t="s">
        <v>23</v>
      </c>
      <c r="D11" s="10" t="s">
        <v>36</v>
      </c>
      <c r="E11" s="11" t="s">
        <v>25</v>
      </c>
      <c r="F11" s="10" t="s">
        <v>37</v>
      </c>
      <c r="G11" s="14">
        <v>3.4</v>
      </c>
      <c r="H11" s="13">
        <v>2.2333333333333298</v>
      </c>
      <c r="I11" s="14">
        <v>3.3333333333333299</v>
      </c>
      <c r="J11" s="13">
        <v>2.3333333333333299</v>
      </c>
      <c r="K11" s="14">
        <v>3.4666666666666699</v>
      </c>
      <c r="L11" s="13">
        <v>2.1333333333333302</v>
      </c>
      <c r="M11" s="15">
        <v>1.0077847483303E-5</v>
      </c>
      <c r="N11" s="16">
        <v>4.9763781084676299E-3</v>
      </c>
      <c r="O11" s="15">
        <v>4.4190199999999998E-4</v>
      </c>
      <c r="P11" s="14">
        <v>20</v>
      </c>
      <c r="Q11" s="13">
        <v>13.14</v>
      </c>
      <c r="R11" s="13">
        <v>6.86</v>
      </c>
      <c r="S11" s="14">
        <v>42.43</v>
      </c>
      <c r="T11" s="13">
        <v>51.469999999999899</v>
      </c>
      <c r="U11" s="13">
        <f t="shared" si="0"/>
        <v>9.0399999999998997</v>
      </c>
    </row>
    <row r="12" spans="1:21">
      <c r="A12" s="9">
        <v>26</v>
      </c>
      <c r="B12" s="8">
        <v>27</v>
      </c>
      <c r="C12" s="11" t="s">
        <v>26</v>
      </c>
      <c r="D12" s="10" t="s">
        <v>32</v>
      </c>
      <c r="E12" s="11" t="s">
        <v>27</v>
      </c>
      <c r="F12" s="10" t="s">
        <v>33</v>
      </c>
      <c r="G12" s="14">
        <v>3.6333333333333302</v>
      </c>
      <c r="H12" s="13">
        <v>2.2333333333333298</v>
      </c>
      <c r="I12" s="14">
        <v>3.8666666666666698</v>
      </c>
      <c r="J12" s="13">
        <v>2.2666666666666702</v>
      </c>
      <c r="K12" s="14">
        <v>3.4</v>
      </c>
      <c r="L12" s="13">
        <v>2.2000000000000002</v>
      </c>
      <c r="M12" s="15">
        <v>1.00677941843319E-5</v>
      </c>
      <c r="N12" s="16">
        <v>1.0067847285522E-5</v>
      </c>
      <c r="O12" s="15">
        <v>5.45E-3</v>
      </c>
      <c r="P12" s="14">
        <v>40</v>
      </c>
      <c r="Q12" s="13">
        <v>13.78</v>
      </c>
      <c r="R12" s="13">
        <v>26.22</v>
      </c>
      <c r="S12" s="14">
        <v>41.31</v>
      </c>
      <c r="T12" s="13">
        <v>40.6</v>
      </c>
      <c r="U12" s="13">
        <f t="shared" si="0"/>
        <v>0.71000000000000085</v>
      </c>
    </row>
    <row r="13" spans="1:21">
      <c r="A13" s="9">
        <v>26</v>
      </c>
      <c r="B13" s="8">
        <v>34</v>
      </c>
      <c r="C13" s="11" t="s">
        <v>26</v>
      </c>
      <c r="D13" s="10" t="s">
        <v>34</v>
      </c>
      <c r="E13" s="11" t="s">
        <v>27</v>
      </c>
      <c r="F13" s="10" t="s">
        <v>35</v>
      </c>
      <c r="G13" s="14">
        <v>3.6333333333333302</v>
      </c>
      <c r="H13" s="13">
        <v>1.93333333333333</v>
      </c>
      <c r="I13" s="14">
        <v>3.8666666666666698</v>
      </c>
      <c r="J13" s="13">
        <v>1.6666666666666701</v>
      </c>
      <c r="K13" s="14">
        <v>3.4</v>
      </c>
      <c r="L13" s="13">
        <v>2.2000000000000002</v>
      </c>
      <c r="M13" s="15">
        <v>1.00677941192728E-5</v>
      </c>
      <c r="N13" s="16">
        <v>1.00677941192728E-5</v>
      </c>
      <c r="O13" s="15">
        <v>5.45E-3</v>
      </c>
      <c r="P13" s="14">
        <v>40</v>
      </c>
      <c r="Q13" s="13">
        <v>10.5</v>
      </c>
      <c r="R13" s="13">
        <v>29.5</v>
      </c>
      <c r="S13" s="14">
        <v>41.31</v>
      </c>
      <c r="T13" s="13">
        <v>50.96</v>
      </c>
      <c r="U13" s="13">
        <f t="shared" si="0"/>
        <v>9.6499999999999986</v>
      </c>
    </row>
    <row r="14" spans="1:21">
      <c r="A14" s="9">
        <v>26</v>
      </c>
      <c r="B14" s="8">
        <v>41</v>
      </c>
      <c r="C14" s="11" t="s">
        <v>26</v>
      </c>
      <c r="D14" s="10" t="s">
        <v>38</v>
      </c>
      <c r="E14" s="11" t="s">
        <v>27</v>
      </c>
      <c r="F14" s="10" t="s">
        <v>39</v>
      </c>
      <c r="G14" s="14">
        <v>3.6333333333333302</v>
      </c>
      <c r="H14" s="13">
        <v>2.8</v>
      </c>
      <c r="I14" s="14">
        <v>3.8666666666666698</v>
      </c>
      <c r="J14" s="13">
        <v>2.93333333333333</v>
      </c>
      <c r="K14" s="14">
        <v>3.4</v>
      </c>
      <c r="L14" s="13">
        <v>2.6666666666666701</v>
      </c>
      <c r="M14" s="15">
        <v>1.8826070492841099E-3</v>
      </c>
      <c r="N14" s="16">
        <v>1.91334656153971E-2</v>
      </c>
      <c r="O14" s="15">
        <v>0.86749630899999997</v>
      </c>
      <c r="P14" s="14">
        <v>40</v>
      </c>
      <c r="Q14" s="13">
        <v>13.33</v>
      </c>
      <c r="R14" s="13">
        <v>26.67</v>
      </c>
      <c r="S14" s="14">
        <v>41.31</v>
      </c>
      <c r="T14" s="13">
        <v>53.219999999999899</v>
      </c>
      <c r="U14" s="13">
        <f t="shared" si="0"/>
        <v>11.909999999999897</v>
      </c>
    </row>
    <row r="15" spans="1:21">
      <c r="A15" s="9">
        <v>26</v>
      </c>
      <c r="B15" s="8">
        <v>48</v>
      </c>
      <c r="C15" s="11" t="s">
        <v>26</v>
      </c>
      <c r="D15" s="10" t="s">
        <v>36</v>
      </c>
      <c r="E15" s="11" t="s">
        <v>27</v>
      </c>
      <c r="F15" s="10" t="s">
        <v>37</v>
      </c>
      <c r="G15" s="14">
        <v>3.6333333333333302</v>
      </c>
      <c r="H15" s="13">
        <v>2.2333333333333298</v>
      </c>
      <c r="I15" s="14">
        <v>3.8666666666666698</v>
      </c>
      <c r="J15" s="13">
        <v>2.3333333333333299</v>
      </c>
      <c r="K15" s="14">
        <v>3.4</v>
      </c>
      <c r="L15" s="13">
        <v>2.1333333333333302</v>
      </c>
      <c r="M15" s="15">
        <v>1.00677941843319E-5</v>
      </c>
      <c r="N15" s="16">
        <v>1.0068522671602401E-5</v>
      </c>
      <c r="O15" s="15">
        <v>1.6199999999999999E-3</v>
      </c>
      <c r="P15" s="14">
        <v>40</v>
      </c>
      <c r="Q15" s="13">
        <v>13.14</v>
      </c>
      <c r="R15" s="13">
        <v>26.86</v>
      </c>
      <c r="S15" s="14">
        <v>41.31</v>
      </c>
      <c r="T15" s="13">
        <v>51.469999999999899</v>
      </c>
      <c r="U15" s="13">
        <f t="shared" si="0"/>
        <v>10.159999999999897</v>
      </c>
    </row>
    <row r="16" spans="1:21">
      <c r="A16" s="8">
        <v>27</v>
      </c>
      <c r="B16" s="9">
        <v>33</v>
      </c>
      <c r="C16" s="10" t="s">
        <v>32</v>
      </c>
      <c r="D16" s="11" t="s">
        <v>28</v>
      </c>
      <c r="E16" s="10" t="s">
        <v>33</v>
      </c>
      <c r="F16" s="11" t="s">
        <v>29</v>
      </c>
      <c r="G16" s="13">
        <v>2.2333333333333298</v>
      </c>
      <c r="H16" s="14">
        <v>3.8</v>
      </c>
      <c r="I16" s="13">
        <v>2.2666666666666702</v>
      </c>
      <c r="J16" s="14">
        <v>3.93333333333333</v>
      </c>
      <c r="K16" s="13">
        <v>2.2000000000000002</v>
      </c>
      <c r="L16" s="14">
        <v>3.6666666666666701</v>
      </c>
      <c r="M16" s="15">
        <v>1.00677941192728E-5</v>
      </c>
      <c r="N16" s="16">
        <v>1.00677974141927E-5</v>
      </c>
      <c r="O16" s="15">
        <v>3.3699999999999999E-5</v>
      </c>
      <c r="P16" s="13">
        <v>13.78</v>
      </c>
      <c r="Q16" s="14">
        <v>46.67</v>
      </c>
      <c r="R16" s="13">
        <v>32.89</v>
      </c>
      <c r="S16" s="13">
        <v>40.6</v>
      </c>
      <c r="T16" s="14">
        <v>52.329999999999899</v>
      </c>
      <c r="U16" s="13">
        <f t="shared" si="0"/>
        <v>11.729999999999897</v>
      </c>
    </row>
    <row r="17" spans="1:21">
      <c r="A17" s="8">
        <v>27</v>
      </c>
      <c r="B17" s="9">
        <v>35</v>
      </c>
      <c r="C17" s="10" t="s">
        <v>32</v>
      </c>
      <c r="D17" s="11" t="s">
        <v>40</v>
      </c>
      <c r="E17" s="10" t="s">
        <v>33</v>
      </c>
      <c r="F17" s="11" t="s">
        <v>41</v>
      </c>
      <c r="G17" s="13">
        <v>2.2333333333333298</v>
      </c>
      <c r="H17" s="14">
        <v>3.0333333333333301</v>
      </c>
      <c r="I17" s="13">
        <v>2.2666666666666702</v>
      </c>
      <c r="J17" s="14">
        <v>3.3333333333333299</v>
      </c>
      <c r="K17" s="13">
        <v>2.2000000000000002</v>
      </c>
      <c r="L17" s="14">
        <v>2.7333333333333298</v>
      </c>
      <c r="M17" s="15">
        <v>4.7131131995081796E-3</v>
      </c>
      <c r="N17" s="16">
        <v>1.1291961948715101E-3</v>
      </c>
      <c r="O17" s="15">
        <v>0.99981849899999997</v>
      </c>
      <c r="P17" s="13">
        <v>13.78</v>
      </c>
      <c r="Q17" s="14">
        <v>16.670000000000002</v>
      </c>
      <c r="R17" s="13">
        <v>2.89</v>
      </c>
      <c r="S17" s="13">
        <v>40.6</v>
      </c>
      <c r="T17" s="14">
        <v>50.1</v>
      </c>
      <c r="U17" s="13">
        <f t="shared" si="0"/>
        <v>9.5</v>
      </c>
    </row>
    <row r="18" spans="1:21">
      <c r="A18" s="8">
        <v>27</v>
      </c>
      <c r="B18" s="9">
        <v>42</v>
      </c>
      <c r="C18" s="10" t="s">
        <v>32</v>
      </c>
      <c r="D18" s="11" t="s">
        <v>30</v>
      </c>
      <c r="E18" s="10" t="s">
        <v>33</v>
      </c>
      <c r="F18" s="11" t="s">
        <v>31</v>
      </c>
      <c r="G18" s="13">
        <v>2.2333333333333298</v>
      </c>
      <c r="H18" s="14">
        <v>3.6333333333333302</v>
      </c>
      <c r="I18" s="13">
        <v>2.2666666666666702</v>
      </c>
      <c r="J18" s="14">
        <v>3.93333333333333</v>
      </c>
      <c r="K18" s="13">
        <v>2.2000000000000002</v>
      </c>
      <c r="L18" s="14">
        <v>3.3333333333333299</v>
      </c>
      <c r="M18" s="15">
        <v>1.00677941843319E-5</v>
      </c>
      <c r="N18" s="16">
        <v>1.00677974141927E-5</v>
      </c>
      <c r="O18" s="15">
        <v>1.67E-2</v>
      </c>
      <c r="P18" s="13">
        <v>13.78</v>
      </c>
      <c r="Q18" s="14">
        <v>60</v>
      </c>
      <c r="R18" s="13">
        <v>46.22</v>
      </c>
      <c r="S18" s="13">
        <v>40.6</v>
      </c>
      <c r="T18" s="14">
        <v>65.409999999999897</v>
      </c>
      <c r="U18" s="13">
        <f t="shared" si="0"/>
        <v>24.809999999999896</v>
      </c>
    </row>
    <row r="19" spans="1:21">
      <c r="A19" s="9">
        <v>33</v>
      </c>
      <c r="B19" s="8">
        <v>34</v>
      </c>
      <c r="C19" s="11" t="s">
        <v>28</v>
      </c>
      <c r="D19" s="10" t="s">
        <v>34</v>
      </c>
      <c r="E19" s="11" t="s">
        <v>29</v>
      </c>
      <c r="F19" s="10" t="s">
        <v>35</v>
      </c>
      <c r="G19" s="14">
        <v>3.8</v>
      </c>
      <c r="H19" s="13">
        <v>1.93333333333333</v>
      </c>
      <c r="I19" s="14">
        <v>3.93333333333333</v>
      </c>
      <c r="J19" s="13">
        <v>1.6666666666666701</v>
      </c>
      <c r="K19" s="14">
        <v>3.6666666666666701</v>
      </c>
      <c r="L19" s="13">
        <v>2.2000000000000002</v>
      </c>
      <c r="M19" s="15">
        <v>1.00677941192728E-5</v>
      </c>
      <c r="N19" s="16">
        <v>1.00677941192728E-5</v>
      </c>
      <c r="O19" s="15">
        <v>3.3699999999999999E-5</v>
      </c>
      <c r="P19" s="14">
        <v>46.67</v>
      </c>
      <c r="Q19" s="13">
        <v>10.5</v>
      </c>
      <c r="R19" s="13">
        <v>36.17</v>
      </c>
      <c r="S19" s="14">
        <v>52.329999999999899</v>
      </c>
      <c r="T19" s="13">
        <v>50.96</v>
      </c>
      <c r="U19" s="13">
        <f t="shared" si="0"/>
        <v>1.369999999999898</v>
      </c>
    </row>
    <row r="20" spans="1:21">
      <c r="A20" s="9">
        <v>33</v>
      </c>
      <c r="B20" s="8">
        <v>35</v>
      </c>
      <c r="C20" s="11" t="s">
        <v>28</v>
      </c>
      <c r="D20" s="10" t="s">
        <v>40</v>
      </c>
      <c r="E20" s="11" t="s">
        <v>29</v>
      </c>
      <c r="F20" s="10" t="s">
        <v>41</v>
      </c>
      <c r="G20" s="14">
        <v>3.8</v>
      </c>
      <c r="H20" s="13">
        <v>3.0333333333333301</v>
      </c>
      <c r="I20" s="14">
        <v>3.93333333333333</v>
      </c>
      <c r="J20" s="13">
        <v>3.3333333333333299</v>
      </c>
      <c r="K20" s="14">
        <v>3.6666666666666701</v>
      </c>
      <c r="L20" s="13">
        <v>2.7333333333333298</v>
      </c>
      <c r="M20" s="15">
        <v>1.11861715056533E-2</v>
      </c>
      <c r="N20" s="16">
        <v>0.88924279993144695</v>
      </c>
      <c r="O20" s="15">
        <v>0.24090603699999999</v>
      </c>
      <c r="P20" s="14">
        <v>46.67</v>
      </c>
      <c r="Q20" s="13">
        <v>16.670000000000002</v>
      </c>
      <c r="R20" s="13">
        <v>30</v>
      </c>
      <c r="S20" s="14">
        <v>52.329999999999899</v>
      </c>
      <c r="T20" s="13">
        <v>50.1</v>
      </c>
      <c r="U20" s="13">
        <f t="shared" si="0"/>
        <v>2.2299999999998974</v>
      </c>
    </row>
    <row r="21" spans="1:21">
      <c r="A21" s="9">
        <v>33</v>
      </c>
      <c r="B21" s="8">
        <v>41</v>
      </c>
      <c r="C21" s="11" t="s">
        <v>28</v>
      </c>
      <c r="D21" s="10" t="s">
        <v>38</v>
      </c>
      <c r="E21" s="11" t="s">
        <v>29</v>
      </c>
      <c r="F21" s="10" t="s">
        <v>39</v>
      </c>
      <c r="G21" s="14">
        <v>3.8</v>
      </c>
      <c r="H21" s="13">
        <v>2.8</v>
      </c>
      <c r="I21" s="14">
        <v>3.93333333333333</v>
      </c>
      <c r="J21" s="13">
        <v>2.93333333333333</v>
      </c>
      <c r="K21" s="14">
        <v>3.6666666666666701</v>
      </c>
      <c r="L21" s="13">
        <v>2.6666666666666701</v>
      </c>
      <c r="M21" s="15">
        <v>1.84881914722101E-5</v>
      </c>
      <c r="N21" s="16">
        <v>4.97637810846774E-3</v>
      </c>
      <c r="O21" s="15">
        <v>0.11282320999999999</v>
      </c>
      <c r="P21" s="14">
        <v>46.67</v>
      </c>
      <c r="Q21" s="13">
        <v>13.33</v>
      </c>
      <c r="R21" s="13">
        <v>33.33</v>
      </c>
      <c r="S21" s="14">
        <v>52.329999999999899</v>
      </c>
      <c r="T21" s="13">
        <v>53.219999999999899</v>
      </c>
      <c r="U21" s="13">
        <f t="shared" si="0"/>
        <v>0.89000000000000057</v>
      </c>
    </row>
    <row r="22" spans="1:21">
      <c r="A22" s="9">
        <v>33</v>
      </c>
      <c r="B22" s="8">
        <v>48</v>
      </c>
      <c r="C22" s="11" t="s">
        <v>28</v>
      </c>
      <c r="D22" s="10" t="s">
        <v>36</v>
      </c>
      <c r="E22" s="11" t="s">
        <v>29</v>
      </c>
      <c r="F22" s="10" t="s">
        <v>37</v>
      </c>
      <c r="G22" s="14">
        <v>3.8</v>
      </c>
      <c r="H22" s="13">
        <v>2.2333333333333298</v>
      </c>
      <c r="I22" s="14">
        <v>3.93333333333333</v>
      </c>
      <c r="J22" s="13">
        <v>2.3333333333333299</v>
      </c>
      <c r="K22" s="14">
        <v>3.6666666666666701</v>
      </c>
      <c r="L22" s="13">
        <v>2.1333333333333302</v>
      </c>
      <c r="M22" s="15">
        <v>1.00677941192728E-5</v>
      </c>
      <c r="N22" s="16">
        <v>1.0067847285522E-5</v>
      </c>
      <c r="O22" s="15">
        <v>1.49E-5</v>
      </c>
      <c r="P22" s="14">
        <v>46.67</v>
      </c>
      <c r="Q22" s="13">
        <v>13.14</v>
      </c>
      <c r="R22" s="13">
        <v>33.520000000000003</v>
      </c>
      <c r="S22" s="14">
        <v>52.329999999999899</v>
      </c>
      <c r="T22" s="13">
        <v>51.469999999999899</v>
      </c>
      <c r="U22" s="13">
        <f t="shared" si="0"/>
        <v>0.85999999999999943</v>
      </c>
    </row>
    <row r="23" spans="1:21">
      <c r="A23" s="8">
        <v>34</v>
      </c>
      <c r="B23" s="9">
        <v>35</v>
      </c>
      <c r="C23" s="10" t="s">
        <v>34</v>
      </c>
      <c r="D23" s="11" t="s">
        <v>40</v>
      </c>
      <c r="E23" s="10" t="s">
        <v>42</v>
      </c>
      <c r="F23" s="11" t="s">
        <v>41</v>
      </c>
      <c r="G23" s="13">
        <v>1.93333333333333</v>
      </c>
      <c r="H23" s="14">
        <v>3.0333333333333301</v>
      </c>
      <c r="I23" s="13">
        <v>1.6666666666666701</v>
      </c>
      <c r="J23" s="14">
        <v>3.3333333333333299</v>
      </c>
      <c r="K23" s="13">
        <v>2.2000000000000002</v>
      </c>
      <c r="L23" s="14">
        <v>2.7333333333333298</v>
      </c>
      <c r="M23" s="15">
        <v>1.02429559833972E-5</v>
      </c>
      <c r="N23" s="16">
        <v>1.00677974141927E-5</v>
      </c>
      <c r="O23" s="15">
        <v>1</v>
      </c>
      <c r="P23" s="13">
        <v>10.5</v>
      </c>
      <c r="Q23" s="14">
        <v>16.670000000000002</v>
      </c>
      <c r="R23" s="13">
        <v>6.17</v>
      </c>
      <c r="S23" s="13">
        <v>50.96</v>
      </c>
      <c r="T23" s="14">
        <v>50.1</v>
      </c>
      <c r="U23" s="13">
        <f t="shared" si="0"/>
        <v>0.85999999999999943</v>
      </c>
    </row>
    <row r="24" spans="1:21">
      <c r="A24" s="8">
        <v>34</v>
      </c>
      <c r="B24" s="9">
        <v>41</v>
      </c>
      <c r="C24" s="10" t="s">
        <v>34</v>
      </c>
      <c r="D24" s="11" t="s">
        <v>38</v>
      </c>
      <c r="E24" s="10" t="s">
        <v>42</v>
      </c>
      <c r="F24" s="11" t="s">
        <v>39</v>
      </c>
      <c r="G24" s="13">
        <v>1.93333333333333</v>
      </c>
      <c r="H24" s="14">
        <v>2.8</v>
      </c>
      <c r="I24" s="13">
        <v>1.6666666666666701</v>
      </c>
      <c r="J24" s="14">
        <v>2.93333333333333</v>
      </c>
      <c r="K24" s="13">
        <v>2.2000000000000002</v>
      </c>
      <c r="L24" s="14">
        <v>2.6666666666666701</v>
      </c>
      <c r="M24" s="15">
        <v>7.1646452168949704E-4</v>
      </c>
      <c r="N24" s="16">
        <v>1.57481903172441E-5</v>
      </c>
      <c r="O24" s="15">
        <v>1</v>
      </c>
      <c r="P24" s="13">
        <v>10.5</v>
      </c>
      <c r="Q24" s="14">
        <v>13.33</v>
      </c>
      <c r="R24" s="13">
        <v>2.83</v>
      </c>
      <c r="S24" s="13">
        <v>50.96</v>
      </c>
      <c r="T24" s="14">
        <v>53.219999999999899</v>
      </c>
      <c r="U24" s="13">
        <f t="shared" si="0"/>
        <v>2.2599999999998985</v>
      </c>
    </row>
    <row r="25" spans="1:21">
      <c r="A25" s="8">
        <v>34</v>
      </c>
      <c r="B25" s="9">
        <v>42</v>
      </c>
      <c r="C25" s="10" t="s">
        <v>34</v>
      </c>
      <c r="D25" s="11" t="s">
        <v>30</v>
      </c>
      <c r="E25" s="10" t="s">
        <v>42</v>
      </c>
      <c r="F25" s="11" t="s">
        <v>31</v>
      </c>
      <c r="G25" s="13">
        <v>1.93333333333333</v>
      </c>
      <c r="H25" s="14">
        <v>3.6333333333333302</v>
      </c>
      <c r="I25" s="13">
        <v>1.6666666666666701</v>
      </c>
      <c r="J25" s="14">
        <v>3.93333333333333</v>
      </c>
      <c r="K25" s="13">
        <v>2.2000000000000002</v>
      </c>
      <c r="L25" s="14">
        <v>3.3333333333333299</v>
      </c>
      <c r="M25" s="15">
        <v>1.00677941192728E-5</v>
      </c>
      <c r="N25" s="16">
        <v>1.00677941192728E-5</v>
      </c>
      <c r="O25" s="15">
        <v>1.67E-2</v>
      </c>
      <c r="P25" s="13">
        <v>10.5</v>
      </c>
      <c r="Q25" s="14">
        <v>60</v>
      </c>
      <c r="R25" s="13">
        <v>49.5</v>
      </c>
      <c r="S25" s="13">
        <v>50.96</v>
      </c>
      <c r="T25" s="14">
        <v>65.409999999999897</v>
      </c>
      <c r="U25" s="13">
        <f t="shared" si="0"/>
        <v>14.449999999999896</v>
      </c>
    </row>
    <row r="26" spans="1:21">
      <c r="A26" s="9">
        <v>35</v>
      </c>
      <c r="B26" s="8">
        <v>48</v>
      </c>
      <c r="C26" s="11" t="s">
        <v>40</v>
      </c>
      <c r="D26" s="10" t="s">
        <v>36</v>
      </c>
      <c r="E26" s="11" t="s">
        <v>41</v>
      </c>
      <c r="F26" s="10" t="s">
        <v>37</v>
      </c>
      <c r="G26" s="14">
        <v>3.0333333333333301</v>
      </c>
      <c r="H26" s="13">
        <v>2.2333333333333298</v>
      </c>
      <c r="I26" s="14">
        <v>3.3333333333333299</v>
      </c>
      <c r="J26" s="13">
        <v>2.3333333333333299</v>
      </c>
      <c r="K26" s="14">
        <v>2.7333333333333298</v>
      </c>
      <c r="L26" s="13">
        <v>2.1333333333333302</v>
      </c>
      <c r="M26" s="15">
        <v>4.7131131995081796E-3</v>
      </c>
      <c r="N26" s="16">
        <v>4.9763781084676299E-3</v>
      </c>
      <c r="O26" s="15">
        <v>0.996111105</v>
      </c>
      <c r="P26" s="14">
        <v>16.670000000000002</v>
      </c>
      <c r="Q26" s="13">
        <v>13.14</v>
      </c>
      <c r="R26" s="13">
        <v>3.52</v>
      </c>
      <c r="S26" s="14">
        <v>50.1</v>
      </c>
      <c r="T26" s="13">
        <v>51.469999999999899</v>
      </c>
      <c r="U26" s="13">
        <f t="shared" si="0"/>
        <v>1.369999999999898</v>
      </c>
    </row>
    <row r="27" spans="1:21">
      <c r="A27" s="8">
        <v>41</v>
      </c>
      <c r="B27" s="9">
        <v>42</v>
      </c>
      <c r="C27" s="10" t="s">
        <v>38</v>
      </c>
      <c r="D27" s="11" t="s">
        <v>30</v>
      </c>
      <c r="E27" s="10" t="s">
        <v>39</v>
      </c>
      <c r="F27" s="11" t="s">
        <v>31</v>
      </c>
      <c r="G27" s="13">
        <v>2.8</v>
      </c>
      <c r="H27" s="14">
        <v>3.6333333333333302</v>
      </c>
      <c r="I27" s="13">
        <v>2.93333333333333</v>
      </c>
      <c r="J27" s="14">
        <v>3.93333333333333</v>
      </c>
      <c r="K27" s="13">
        <v>2.6666666666666701</v>
      </c>
      <c r="L27" s="14">
        <v>3.3333333333333299</v>
      </c>
      <c r="M27" s="15">
        <v>1.8826070492841099E-3</v>
      </c>
      <c r="N27" s="16">
        <v>4.97637810846774E-3</v>
      </c>
      <c r="O27" s="15">
        <v>0.96771069899999995</v>
      </c>
      <c r="P27" s="13">
        <v>13.33</v>
      </c>
      <c r="Q27" s="14">
        <v>60</v>
      </c>
      <c r="R27" s="13">
        <v>46.67</v>
      </c>
      <c r="S27" s="13">
        <v>53.219999999999899</v>
      </c>
      <c r="T27" s="14">
        <v>65.409999999999897</v>
      </c>
      <c r="U27" s="13">
        <f t="shared" si="0"/>
        <v>12.189999999999998</v>
      </c>
    </row>
    <row r="28" spans="1:21">
      <c r="A28" s="9">
        <v>42</v>
      </c>
      <c r="B28" s="8">
        <v>48</v>
      </c>
      <c r="C28" s="11" t="s">
        <v>30</v>
      </c>
      <c r="D28" s="10" t="s">
        <v>36</v>
      </c>
      <c r="E28" s="11" t="s">
        <v>31</v>
      </c>
      <c r="F28" s="10" t="s">
        <v>37</v>
      </c>
      <c r="G28" s="14">
        <v>3.6333333333333302</v>
      </c>
      <c r="H28" s="13">
        <v>2.2333333333333298</v>
      </c>
      <c r="I28" s="14">
        <v>3.93333333333333</v>
      </c>
      <c r="J28" s="13">
        <v>2.3333333333333299</v>
      </c>
      <c r="K28" s="14">
        <v>3.3333333333333299</v>
      </c>
      <c r="L28" s="13">
        <v>2.1333333333333302</v>
      </c>
      <c r="M28" s="15">
        <v>1.00677941843319E-5</v>
      </c>
      <c r="N28" s="16">
        <v>1.0067847285522E-5</v>
      </c>
      <c r="O28" s="15">
        <v>5.45E-3</v>
      </c>
      <c r="P28" s="14">
        <v>60</v>
      </c>
      <c r="Q28" s="13">
        <v>13.14</v>
      </c>
      <c r="R28" s="13">
        <v>46.86</v>
      </c>
      <c r="S28" s="14">
        <v>65.409999999999897</v>
      </c>
      <c r="T28" s="13">
        <v>51.469999999999899</v>
      </c>
      <c r="U28" s="13">
        <f t="shared" si="0"/>
        <v>13.939999999999998</v>
      </c>
    </row>
    <row r="29" spans="1:21" ht="30" customHeight="1">
      <c r="A29" s="25" t="s">
        <v>43</v>
      </c>
      <c r="B29" s="26"/>
      <c r="C29" s="26"/>
      <c r="D29" s="26"/>
      <c r="E29" s="26"/>
      <c r="F29" s="26"/>
      <c r="G29" s="26"/>
      <c r="H29" s="26"/>
      <c r="I29" s="26"/>
      <c r="J29" s="26"/>
      <c r="K29" s="26"/>
      <c r="L29" s="26"/>
      <c r="M29" s="26"/>
      <c r="N29" s="26"/>
      <c r="O29" s="26"/>
      <c r="P29" s="26"/>
      <c r="Q29" s="26"/>
      <c r="R29" s="26"/>
      <c r="S29" s="26"/>
      <c r="T29" s="26"/>
      <c r="U29" s="26"/>
    </row>
  </sheetData>
  <mergeCells count="25">
    <mergeCell ref="A29:U29"/>
    <mergeCell ref="A1:U1"/>
    <mergeCell ref="S2:U2"/>
    <mergeCell ref="A3:A4"/>
    <mergeCell ref="B3:B4"/>
    <mergeCell ref="C3:C4"/>
    <mergeCell ref="D3:D4"/>
    <mergeCell ref="E3:E4"/>
    <mergeCell ref="N3:N4"/>
    <mergeCell ref="A2:F2"/>
    <mergeCell ref="G2:L2"/>
    <mergeCell ref="M2:O2"/>
    <mergeCell ref="P2:R2"/>
    <mergeCell ref="F3:F4"/>
    <mergeCell ref="G3:H3"/>
    <mergeCell ref="I3:J3"/>
    <mergeCell ref="K3:L3"/>
    <mergeCell ref="M3:M4"/>
    <mergeCell ref="U3:U4"/>
    <mergeCell ref="O3:O4"/>
    <mergeCell ref="P3:P4"/>
    <mergeCell ref="Q3:Q4"/>
    <mergeCell ref="R3:R4"/>
    <mergeCell ref="S3:S4"/>
    <mergeCell ref="T3:T4"/>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Bowling</dc:creator>
  <cp:lastModifiedBy>Daniel Bowling</cp:lastModifiedBy>
  <dcterms:created xsi:type="dcterms:W3CDTF">2017-11-20T15:59:00Z</dcterms:created>
  <dcterms:modified xsi:type="dcterms:W3CDTF">2017-11-20T16:45:08Z</dcterms:modified>
</cp:coreProperties>
</file>