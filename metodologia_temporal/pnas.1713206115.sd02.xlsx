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028"/>
  <workbookPr showInkAnnotation="0" checkCompatibility="1" autoCompressPictures="0"/>
  <bookViews>
    <workbookView xWindow="3200" yWindow="1080" windowWidth="25600" windowHeight="16060" tabRatio="500" activeTab="1"/>
  </bookViews>
  <sheets>
    <sheet name="DYADS" sheetId="1" r:id="rId1"/>
    <sheet name="TRIADS" sheetId="2" r:id="rId2"/>
    <sheet name="TETRADS" sheetId="4" r:id="rId3"/>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U102" i="4" l="1"/>
  <c r="U84" i="4"/>
  <c r="U101" i="4"/>
  <c r="U82" i="4"/>
  <c r="U108" i="4"/>
  <c r="U99" i="4"/>
  <c r="U81" i="4"/>
  <c r="U107" i="4"/>
  <c r="U98" i="4"/>
  <c r="U80" i="4"/>
  <c r="U106" i="4"/>
  <c r="U97" i="4"/>
  <c r="U79" i="4"/>
  <c r="U68" i="4"/>
  <c r="U66" i="4"/>
  <c r="U96" i="4"/>
  <c r="U57" i="4"/>
  <c r="U48" i="4"/>
  <c r="U56" i="4"/>
  <c r="U100" i="4"/>
  <c r="U95" i="4"/>
  <c r="U74" i="4"/>
  <c r="U71" i="4"/>
  <c r="U73" i="4"/>
  <c r="U78" i="4"/>
  <c r="U37" i="4"/>
  <c r="U69" i="4"/>
  <c r="U36" i="4"/>
  <c r="U35" i="4"/>
  <c r="U70" i="4"/>
  <c r="U67" i="4"/>
  <c r="U65" i="4"/>
  <c r="U59" i="4"/>
  <c r="U47" i="4"/>
  <c r="U42" i="4"/>
  <c r="U94" i="4"/>
  <c r="U30" i="4"/>
  <c r="U93" i="4"/>
  <c r="U29" i="4"/>
  <c r="U92" i="4"/>
  <c r="U55" i="4"/>
  <c r="U46" i="4"/>
  <c r="U28" i="4"/>
  <c r="U103" i="4"/>
  <c r="U61" i="4"/>
  <c r="U41" i="4"/>
  <c r="U88" i="4"/>
  <c r="U54" i="4"/>
  <c r="U40" i="4"/>
  <c r="U27" i="4"/>
  <c r="U87" i="4"/>
  <c r="U105" i="4"/>
  <c r="U91" i="4"/>
  <c r="U77" i="4"/>
  <c r="U90" i="4"/>
  <c r="U86" i="4"/>
  <c r="U53" i="4"/>
  <c r="U45" i="4"/>
  <c r="U39" i="4"/>
  <c r="U33" i="4"/>
  <c r="U26" i="4"/>
  <c r="U19" i="4"/>
  <c r="U83" i="4"/>
  <c r="U58" i="4"/>
  <c r="U52" i="4"/>
  <c r="U44" i="4"/>
  <c r="U34" i="4"/>
  <c r="U32" i="4"/>
  <c r="U25" i="4"/>
  <c r="U18" i="4"/>
  <c r="U16" i="4"/>
  <c r="U51" i="4"/>
  <c r="U43" i="4"/>
  <c r="U24" i="4"/>
  <c r="U50" i="4"/>
  <c r="U23" i="4"/>
  <c r="U60" i="4"/>
  <c r="U20" i="4"/>
  <c r="U17" i="4"/>
  <c r="U15" i="4"/>
  <c r="U104" i="4"/>
  <c r="U89" i="4"/>
  <c r="U76" i="4"/>
  <c r="U31" i="4"/>
  <c r="U109" i="4"/>
  <c r="U85" i="4"/>
  <c r="U72" i="4"/>
  <c r="U49" i="4"/>
  <c r="U38" i="4"/>
  <c r="U22" i="4"/>
  <c r="U14" i="4"/>
  <c r="U64" i="4"/>
  <c r="U21" i="4"/>
  <c r="U75" i="4"/>
  <c r="U13" i="4"/>
  <c r="U12" i="4"/>
  <c r="U11" i="4"/>
  <c r="U8" i="4"/>
  <c r="U7" i="4"/>
  <c r="U63" i="4"/>
  <c r="U10" i="4"/>
  <c r="U6" i="4"/>
  <c r="U62" i="4"/>
  <c r="U9" i="4"/>
  <c r="U5" i="4"/>
</calcChain>
</file>

<file path=xl/sharedStrings.xml><?xml version="1.0" encoding="utf-8"?>
<sst xmlns="http://schemas.openxmlformats.org/spreadsheetml/2006/main" count="499" uniqueCount="176">
  <si>
    <t>COMPARISON</t>
  </si>
  <si>
    <t>MEAN PERCEIVED CONSONANCE</t>
  </si>
  <si>
    <t>TUKEY P-VALUES</t>
  </si>
  <si>
    <t>HARMONIC SIMILARITY METRIC</t>
  </si>
  <si>
    <t>FREQUENCY INTERVALS METRIC</t>
  </si>
  <si>
    <t>Combined</t>
  </si>
  <si>
    <t xml:space="preserve">Musicians </t>
  </si>
  <si>
    <t>Musicians</t>
  </si>
  <si>
    <t>Non-musicians</t>
  </si>
  <si>
    <t>Chord1 min. interval (Hz)</t>
  </si>
  <si>
    <t>Chord2 min. interval (Hz)</t>
  </si>
  <si>
    <t>Chord1 #</t>
  </si>
  <si>
    <t>Chord2 #</t>
  </si>
  <si>
    <t>Chord1 tones</t>
  </si>
  <si>
    <t>Chord2 tones</t>
  </si>
  <si>
    <t>Chord1 name</t>
  </si>
  <si>
    <t>Chord2 name</t>
  </si>
  <si>
    <t>0 4</t>
  </si>
  <si>
    <t>0 9</t>
  </si>
  <si>
    <t>major third</t>
  </si>
  <si>
    <t>major sixth</t>
  </si>
  <si>
    <t>0 6</t>
  </si>
  <si>
    <t>0 8</t>
  </si>
  <si>
    <t>tritone</t>
  </si>
  <si>
    <t>minor sixth</t>
  </si>
  <si>
    <t>Chord1</t>
  </si>
  <si>
    <t>Chord2</t>
  </si>
  <si>
    <t>Chord1   score (%)</t>
  </si>
  <si>
    <t>Chord2   score (%)</t>
  </si>
  <si>
    <t>Difference (absolute)</t>
  </si>
  <si>
    <t>na</t>
  </si>
  <si>
    <t>0 1 5</t>
  </si>
  <si>
    <t>0 11 12</t>
  </si>
  <si>
    <t>0 10 12</t>
  </si>
  <si>
    <t>0 2 5</t>
  </si>
  <si>
    <t>0 2 6</t>
  </si>
  <si>
    <t>0 2 7</t>
  </si>
  <si>
    <t>suspended second</t>
  </si>
  <si>
    <t>0 3 6</t>
  </si>
  <si>
    <t xml:space="preserve">diminished (r) </t>
  </si>
  <si>
    <t>0 3 7</t>
  </si>
  <si>
    <t xml:space="preserve">minor (r) </t>
  </si>
  <si>
    <t>0 3 12</t>
  </si>
  <si>
    <t>0 4 5</t>
  </si>
  <si>
    <t>0 4 7</t>
  </si>
  <si>
    <t>major</t>
  </si>
  <si>
    <t>0 4 9</t>
  </si>
  <si>
    <t>minor (1)</t>
  </si>
  <si>
    <t>0 5 7</t>
  </si>
  <si>
    <t>suspended fourth</t>
  </si>
  <si>
    <t>0 5 8</t>
  </si>
  <si>
    <t>minor (2)</t>
  </si>
  <si>
    <t>0 6 10</t>
  </si>
  <si>
    <t>0 6 12</t>
  </si>
  <si>
    <t>0 4 6</t>
  </si>
  <si>
    <t>0 4 8</t>
  </si>
  <si>
    <t>augmented</t>
  </si>
  <si>
    <t>0 8 10</t>
  </si>
  <si>
    <t>0 9 11</t>
  </si>
  <si>
    <t>0 3 8</t>
  </si>
  <si>
    <t>major (1)</t>
  </si>
  <si>
    <t>0 4 11</t>
  </si>
  <si>
    <t>0 7 11</t>
  </si>
  <si>
    <t>major 7th omit 3</t>
  </si>
  <si>
    <t>0 9 12</t>
  </si>
  <si>
    <t>0 7 10</t>
  </si>
  <si>
    <t>minor 7th omit 3</t>
  </si>
  <si>
    <t>0 8 12</t>
  </si>
  <si>
    <t>0 1 3 10</t>
  </si>
  <si>
    <t>0 1 5 12</t>
  </si>
  <si>
    <t>0 1 8 12</t>
  </si>
  <si>
    <t>0 5 6 9</t>
  </si>
  <si>
    <t>0 1 5 6</t>
  </si>
  <si>
    <t>0 1 6 9</t>
  </si>
  <si>
    <t>0 1 8 9</t>
  </si>
  <si>
    <t>0 1 9 10</t>
  </si>
  <si>
    <t>0 6 8 9</t>
  </si>
  <si>
    <t>0 3 4 8</t>
  </si>
  <si>
    <t>0 5 6 12</t>
  </si>
  <si>
    <t>0 2 3 6</t>
  </si>
  <si>
    <t>0 2 3 7</t>
  </si>
  <si>
    <t>0 3 6 9</t>
  </si>
  <si>
    <t>0 3 9 10</t>
  </si>
  <si>
    <t>0 4 8 10</t>
  </si>
  <si>
    <t>0 6 7 10</t>
  </si>
  <si>
    <t>0 6 9 10</t>
  </si>
  <si>
    <t>0 9 10 12</t>
  </si>
  <si>
    <t>0 2 4 7</t>
  </si>
  <si>
    <t>0 3 6 10</t>
  </si>
  <si>
    <t>0 6 8 10</t>
  </si>
  <si>
    <t>0 6 10 12</t>
  </si>
  <si>
    <t>0 8 10 12</t>
  </si>
  <si>
    <t>0 2 4 10</t>
  </si>
  <si>
    <t>0 2 6 9</t>
  </si>
  <si>
    <t>0 2 6 12</t>
  </si>
  <si>
    <t>0 2 4 11</t>
  </si>
  <si>
    <t>0 2 7 12</t>
  </si>
  <si>
    <t>0 4 11 12</t>
  </si>
  <si>
    <t>0 2 5 7</t>
  </si>
  <si>
    <t>0 2 5 9</t>
  </si>
  <si>
    <t>0 4 6 10</t>
  </si>
  <si>
    <t>0 2 6 8</t>
  </si>
  <si>
    <t>0 3 6 11</t>
  </si>
  <si>
    <t>0 3 7 11</t>
  </si>
  <si>
    <t>0 4 8 11</t>
  </si>
  <si>
    <t>0 6 8 11</t>
  </si>
  <si>
    <t>0 2 6 10</t>
  </si>
  <si>
    <t>0 2 7 11</t>
  </si>
  <si>
    <t>0 2 8 12</t>
  </si>
  <si>
    <t>0 2 9 12</t>
  </si>
  <si>
    <t>0 2 11 12</t>
  </si>
  <si>
    <t>0 4 5 9</t>
  </si>
  <si>
    <t>0 8 9 10</t>
  </si>
  <si>
    <t>0 3 5 7</t>
  </si>
  <si>
    <t>0 3 5 8</t>
  </si>
  <si>
    <t>0 3 5 9</t>
  </si>
  <si>
    <t>0 3 6 7</t>
  </si>
  <si>
    <t>0 4 6 12</t>
  </si>
  <si>
    <t>0 4 9 11</t>
  </si>
  <si>
    <t>0 5 7 10</t>
  </si>
  <si>
    <t>0 5 7 11</t>
  </si>
  <si>
    <t>0 5 10 12</t>
  </si>
  <si>
    <t>0 3 7 12</t>
  </si>
  <si>
    <t>0 3 8 12</t>
  </si>
  <si>
    <t>0 5 7 12</t>
  </si>
  <si>
    <t>0 3 6 12</t>
  </si>
  <si>
    <t>0 3 10 12</t>
  </si>
  <si>
    <t>0 4 5 7</t>
  </si>
  <si>
    <t>0 6 7 8</t>
  </si>
  <si>
    <t>0 7 8 10</t>
  </si>
  <si>
    <t>0 4 6 9</t>
  </si>
  <si>
    <t>0 4 7 9</t>
  </si>
  <si>
    <t>0 5 7 9</t>
  </si>
  <si>
    <t>0 7 8 12</t>
  </si>
  <si>
    <t>0 6 8 12</t>
  </si>
  <si>
    <t>0 7 9 12</t>
  </si>
  <si>
    <t>0 2 4</t>
  </si>
  <si>
    <t>dimished 7th chord</t>
  </si>
  <si>
    <t>minor triad (r) + M2</t>
  </si>
  <si>
    <t>major triad (r) + M2</t>
  </si>
  <si>
    <t>mu chord</t>
  </si>
  <si>
    <t>suspended 2nd + M7</t>
  </si>
  <si>
    <t>suspended 2nd + Oct</t>
  </si>
  <si>
    <t>major triad (r) + P4</t>
  </si>
  <si>
    <t>major triad (1) + P4</t>
  </si>
  <si>
    <t>diminished (1) + P4</t>
  </si>
  <si>
    <t>minor triad (r) + tt</t>
  </si>
  <si>
    <t>half dimished 7th chord</t>
  </si>
  <si>
    <t>suspended fourth + M3</t>
  </si>
  <si>
    <t>minor triad (1) + P4</t>
  </si>
  <si>
    <t>French 6th</t>
  </si>
  <si>
    <t>major triad (r) + M6</t>
  </si>
  <si>
    <t>augmented + m7</t>
  </si>
  <si>
    <t>suspended fourth + M6</t>
  </si>
  <si>
    <t>suspended fourth + Oct</t>
  </si>
  <si>
    <t>power chord + m7</t>
  </si>
  <si>
    <t>power chord + m2</t>
  </si>
  <si>
    <t>major triad (1) + Oct</t>
  </si>
  <si>
    <t>half diminished 7th</t>
  </si>
  <si>
    <t>diminished (r) + M7</t>
  </si>
  <si>
    <t>minor (r) + M7</t>
  </si>
  <si>
    <t xml:space="preserve">minor (r) + oct </t>
  </si>
  <si>
    <t>augmented + M7</t>
  </si>
  <si>
    <t>suspended fourth + m7</t>
  </si>
  <si>
    <t>suspended fourth + M7</t>
  </si>
  <si>
    <t>suspended fourth + oct</t>
  </si>
  <si>
    <t>power chord + m6</t>
  </si>
  <si>
    <t>power chord + M6</t>
  </si>
  <si>
    <t>diminished (2) + m2</t>
  </si>
  <si>
    <t>diminished (r) + Oct</t>
  </si>
  <si>
    <t>Format is the same as for dyads</t>
  </si>
  <si>
    <t>Format is the same as for dyads and triads</t>
  </si>
  <si>
    <t>INCORRECT PREDICTIONS FOR DYADS</t>
  </si>
  <si>
    <t>INCORRECT PREDICTIONS FOR TRIADS</t>
  </si>
  <si>
    <t xml:space="preserve">Singnificant pairwise comparisons incorrectly predicted by vocal similarity metrics. Each row represents one comparison. Columns "Chord 1#" and "Chord 2#" specify the comparison using the chord numbers from Data Set 1. Columns “Chord1 tones” and “Chord2 tones” columns specify the component tones of each chord in semitones above the lowest note (labeled “0”). Data pertaining to the chord perceived as more consonant in each comparison is highlighted in yellow. </t>
  </si>
  <si>
    <t>INCORRECT PREDICTIONS FOR TETRADS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</si>
</sst>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1" x14ac:knownFonts="1">
    <font>
      <sz val="12"/>
      <color theme="1"/>
      <name val="Calibri"/>
      <family val="2"/>
      <scheme val="minor"/>
    </font>
    <font>
      <sz val="8"/>
      <name val="Calibri"/>
      <family val="2"/>
      <scheme val="minor"/>
    </font>
    <font>
      <sz val="10"/>
      <color theme="1"/>
      <name val="Times New Roman"/>
    </font>
    <font>
      <sz val="10"/>
      <color rgb="FF000000"/>
      <name val="Times New Roman"/>
    </font>
    <font>
      <b/>
      <sz val="10"/>
      <color theme="0"/>
      <name val="Times New Roman"/>
    </font>
    <font>
      <u/>
      <sz val="12"/>
      <color theme="10"/>
      <name val="Calibri"/>
      <family val="2"/>
      <scheme val="minor"/>
    </font>
    <font>
      <u/>
      <sz val="12"/>
      <color theme="11"/>
      <name val="Calibri"/>
      <family val="2"/>
      <scheme val="minor"/>
    </font>
    <font>
      <sz val="10"/>
      <name val="Times New Roman"/>
    </font>
    <font>
      <sz val="12"/>
      <name val="Times New Roman"/>
    </font>
    <font>
      <sz val="10"/>
      <color theme="1"/>
      <name val="TimesNewRomanPSMT"/>
    </font>
    <font>
      <b/>
      <sz val="12"/>
      <color theme="0"/>
      <name val="Times New Roman"/>
    </font>
  </fonts>
  <fills count="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1" tint="0.249977111117893"/>
        <bgColor indexed="64"/>
      </patternFill>
    </fill>
    <fill>
      <patternFill patternType="solid">
        <fgColor theme="1" tint="0.3499862666707357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s>
  <cellStyleXfs count="1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53">
    <xf numFmtId="0" fontId="0" fillId="0" borderId="0" xfId="0"/>
    <xf numFmtId="0" fontId="2" fillId="0" borderId="1" xfId="0" applyFont="1" applyBorder="1" applyAlignment="1">
      <alignment horizontal="center"/>
    </xf>
    <xf numFmtId="2" fontId="3" fillId="0" borderId="1" xfId="0" applyNumberFormat="1" applyFont="1" applyBorder="1"/>
    <xf numFmtId="164" fontId="3" fillId="0" borderId="1" xfId="0" applyNumberFormat="1" applyFont="1" applyFill="1" applyBorder="1"/>
    <xf numFmtId="2" fontId="2" fillId="0" borderId="1" xfId="0" applyNumberFormat="1" applyFont="1" applyBorder="1"/>
    <xf numFmtId="0" fontId="2" fillId="0" borderId="1" xfId="0" applyFont="1" applyFill="1" applyBorder="1" applyAlignment="1">
      <alignment horizontal="center"/>
    </xf>
    <xf numFmtId="0" fontId="2" fillId="3" borderId="1" xfId="0" applyFont="1" applyFill="1" applyBorder="1" applyAlignment="1">
      <alignment horizontal="center" vertical="top" wrapText="1"/>
    </xf>
    <xf numFmtId="2" fontId="3" fillId="0" borderId="1" xfId="0" applyNumberFormat="1" applyFont="1" applyFill="1" applyBorder="1"/>
    <xf numFmtId="2" fontId="2" fillId="0" borderId="1" xfId="0" applyNumberFormat="1" applyFont="1" applyFill="1" applyBorder="1"/>
    <xf numFmtId="2" fontId="2" fillId="0" borderId="1" xfId="0" applyNumberFormat="1" applyFont="1" applyFill="1" applyBorder="1" applyAlignment="1">
      <alignment horizontal="right"/>
    </xf>
    <xf numFmtId="2" fontId="2" fillId="4" borderId="1" xfId="0" applyNumberFormat="1" applyFont="1" applyFill="1" applyBorder="1"/>
    <xf numFmtId="0" fontId="2" fillId="4" borderId="1" xfId="0" applyFont="1" applyFill="1" applyBorder="1" applyAlignment="1">
      <alignment horizontal="center"/>
    </xf>
    <xf numFmtId="2" fontId="3" fillId="4" borderId="1" xfId="0" applyNumberFormat="1" applyFont="1" applyFill="1" applyBorder="1"/>
    <xf numFmtId="0" fontId="3" fillId="4" borderId="1" xfId="0" applyFont="1" applyFill="1" applyBorder="1" applyAlignment="1">
      <alignment horizontal="center"/>
    </xf>
    <xf numFmtId="0" fontId="3" fillId="0" borderId="1" xfId="0" applyFont="1" applyFill="1" applyBorder="1" applyAlignment="1">
      <alignment horizontal="center"/>
    </xf>
    <xf numFmtId="0" fontId="2" fillId="0" borderId="1" xfId="0" applyFont="1" applyFill="1" applyBorder="1"/>
    <xf numFmtId="2" fontId="2" fillId="0" borderId="1" xfId="0" applyNumberFormat="1" applyFont="1" applyFill="1" applyBorder="1" applyAlignment="1">
      <alignment horizontal="center"/>
    </xf>
    <xf numFmtId="2" fontId="2" fillId="4"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2" fillId="4" borderId="1" xfId="0" applyNumberFormat="1" applyFont="1" applyFill="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0" fontId="8" fillId="0" borderId="1" xfId="0" applyFont="1" applyBorder="1" applyAlignment="1">
      <alignment horizontal="center"/>
    </xf>
    <xf numFmtId="0" fontId="7" fillId="0" borderId="1" xfId="0" applyFont="1" applyFill="1" applyBorder="1" applyAlignment="1">
      <alignment horizontal="center"/>
    </xf>
    <xf numFmtId="2" fontId="2" fillId="0" borderId="7" xfId="0" applyNumberFormat="1" applyFont="1" applyFill="1" applyBorder="1"/>
    <xf numFmtId="0" fontId="0" fillId="0" borderId="10" xfId="0" applyBorder="1"/>
    <xf numFmtId="2" fontId="2" fillId="0" borderId="10" xfId="0" applyNumberFormat="1" applyFont="1" applyFill="1" applyBorder="1"/>
    <xf numFmtId="164" fontId="3" fillId="0" borderId="1" xfId="0" applyNumberFormat="1" applyFont="1" applyBorder="1"/>
    <xf numFmtId="0" fontId="9" fillId="0" borderId="0" xfId="0" applyFont="1"/>
    <xf numFmtId="0" fontId="10" fillId="2" borderId="11" xfId="0" applyFont="1" applyFill="1" applyBorder="1" applyAlignment="1">
      <alignment horizontal="center" vertical="center"/>
    </xf>
    <xf numFmtId="0" fontId="9" fillId="0" borderId="3" xfId="0" applyFont="1" applyBorder="1" applyAlignment="1">
      <alignment horizontal="left" vertical="top" wrapText="1"/>
    </xf>
    <xf numFmtId="0" fontId="4" fillId="6" borderId="1" xfId="0" applyFont="1" applyFill="1" applyBorder="1" applyAlignment="1">
      <alignment horizontal="center" vertical="top"/>
    </xf>
    <xf numFmtId="0" fontId="2" fillId="3" borderId="1" xfId="0" applyFont="1" applyFill="1" applyBorder="1" applyAlignment="1">
      <alignment horizontal="center" vertical="center" wrapText="1"/>
    </xf>
    <xf numFmtId="0" fontId="2" fillId="3" borderId="1" xfId="0" applyFont="1" applyFill="1" applyBorder="1" applyAlignment="1">
      <alignment horizontal="center"/>
    </xf>
    <xf numFmtId="0" fontId="2" fillId="3" borderId="1" xfId="0" applyFont="1" applyFill="1" applyBorder="1" applyAlignment="1">
      <alignment horizontal="center" vertical="top"/>
    </xf>
    <xf numFmtId="0" fontId="2" fillId="3" borderId="5" xfId="0" applyFont="1" applyFill="1" applyBorder="1" applyAlignment="1">
      <alignment horizontal="center" vertical="top"/>
    </xf>
    <xf numFmtId="0" fontId="2" fillId="3" borderId="6" xfId="0" applyFont="1" applyFill="1" applyBorder="1" applyAlignment="1">
      <alignment horizontal="center" vertical="top"/>
    </xf>
    <xf numFmtId="0" fontId="2" fillId="3" borderId="1" xfId="0" applyFont="1" applyFill="1" applyBorder="1" applyAlignment="1">
      <alignment horizontal="center" vertical="top" wrapText="1"/>
    </xf>
    <xf numFmtId="0" fontId="4" fillId="6" borderId="7" xfId="0" applyFont="1" applyFill="1" applyBorder="1" applyAlignment="1">
      <alignment horizontal="center" vertical="top"/>
    </xf>
    <xf numFmtId="0" fontId="4" fillId="6" borderId="8" xfId="0" applyFont="1" applyFill="1" applyBorder="1" applyAlignment="1">
      <alignment horizontal="center" vertical="top"/>
    </xf>
    <xf numFmtId="0" fontId="4" fillId="6" borderId="9" xfId="0" applyFont="1" applyFill="1" applyBorder="1" applyAlignment="1">
      <alignment horizontal="center" vertical="top"/>
    </xf>
    <xf numFmtId="0" fontId="4" fillId="6" borderId="2" xfId="0" applyFont="1" applyFill="1" applyBorder="1" applyAlignment="1">
      <alignment horizontal="center" vertical="top"/>
    </xf>
    <xf numFmtId="0" fontId="4" fillId="6" borderId="3" xfId="0" applyFont="1" applyFill="1" applyBorder="1" applyAlignment="1">
      <alignment horizontal="center" vertical="top"/>
    </xf>
    <xf numFmtId="0" fontId="4" fillId="6" borderId="4" xfId="0" applyFont="1" applyFill="1" applyBorder="1" applyAlignment="1">
      <alignment horizontal="center" vertical="top"/>
    </xf>
    <xf numFmtId="0" fontId="2" fillId="3" borderId="5" xfId="0" applyFont="1" applyFill="1" applyBorder="1" applyAlignment="1">
      <alignment horizontal="center" vertical="top" wrapText="1"/>
    </xf>
    <xf numFmtId="0" fontId="2" fillId="3" borderId="6" xfId="0" applyFont="1" applyFill="1" applyBorder="1" applyAlignment="1">
      <alignment horizontal="center" vertical="top" wrapText="1"/>
    </xf>
    <xf numFmtId="0" fontId="4" fillId="5" borderId="7" xfId="0" applyFont="1" applyFill="1" applyBorder="1" applyAlignment="1">
      <alignment horizontal="center" vertical="top"/>
    </xf>
    <xf numFmtId="0" fontId="4" fillId="5" borderId="8" xfId="0" applyFont="1" applyFill="1" applyBorder="1" applyAlignment="1">
      <alignment horizontal="center" vertical="top"/>
    </xf>
    <xf numFmtId="0" fontId="4" fillId="5" borderId="9" xfId="0" applyFont="1" applyFill="1" applyBorder="1" applyAlignment="1">
      <alignment horizontal="center" vertical="top"/>
    </xf>
    <xf numFmtId="0" fontId="4" fillId="5" borderId="2" xfId="0" applyFont="1" applyFill="1" applyBorder="1" applyAlignment="1">
      <alignment horizontal="center" vertical="top"/>
    </xf>
    <xf numFmtId="0" fontId="4" fillId="5" borderId="3" xfId="0" applyFont="1" applyFill="1" applyBorder="1" applyAlignment="1">
      <alignment horizontal="center" vertical="top"/>
    </xf>
    <xf numFmtId="0" fontId="4" fillId="5" borderId="4" xfId="0" applyFont="1" applyFill="1" applyBorder="1" applyAlignment="1">
      <alignment horizontal="center" vertical="top"/>
    </xf>
    <xf numFmtId="0" fontId="4" fillId="5" borderId="1" xfId="0" applyFont="1" applyFill="1" applyBorder="1" applyAlignment="1">
      <alignment horizontal="center" vertical="top"/>
    </xf>
  </cellXfs>
  <cellStyles count="1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U7"/>
  <sheetViews>
    <sheetView workbookViewId="0">
      <selection activeCell="F21" sqref="F21"/>
    </sheetView>
  </sheetViews>
  <sheetFormatPr baseColWidth="10" defaultRowHeight="15" x14ac:dyDescent="0"/>
  <cols>
    <col min="1" max="2" width="6" customWidth="1"/>
    <col min="3" max="4" width="8.33203125" customWidth="1"/>
    <col min="5" max="6" width="13.33203125" customWidth="1"/>
    <col min="7" max="12" width="7.83203125" customWidth="1"/>
    <col min="13" max="15" width="9.5" customWidth="1"/>
    <col min="16" max="18" width="9.6640625" customWidth="1"/>
    <col min="21" max="21" width="9.6640625" customWidth="1"/>
  </cols>
  <sheetData>
    <row r="1" spans="1:21" ht="29" customHeight="1">
      <c r="A1" s="29" t="s">
        <v>172</v>
      </c>
      <c r="B1" s="29"/>
      <c r="C1" s="29"/>
      <c r="D1" s="29"/>
      <c r="E1" s="29"/>
      <c r="F1" s="29"/>
      <c r="G1" s="29"/>
      <c r="H1" s="29"/>
      <c r="I1" s="29"/>
      <c r="J1" s="29"/>
      <c r="K1" s="29"/>
      <c r="L1" s="29"/>
      <c r="M1" s="29"/>
      <c r="N1" s="29"/>
      <c r="O1" s="29"/>
      <c r="P1" s="29"/>
      <c r="Q1" s="29"/>
      <c r="R1" s="29"/>
      <c r="S1" s="29"/>
      <c r="T1" s="29"/>
      <c r="U1" s="29"/>
    </row>
    <row r="2" spans="1:21">
      <c r="A2" s="41" t="s">
        <v>0</v>
      </c>
      <c r="B2" s="42"/>
      <c r="C2" s="42"/>
      <c r="D2" s="42"/>
      <c r="E2" s="42"/>
      <c r="F2" s="43"/>
      <c r="G2" s="31" t="s">
        <v>1</v>
      </c>
      <c r="H2" s="31"/>
      <c r="I2" s="31"/>
      <c r="J2" s="31"/>
      <c r="K2" s="31"/>
      <c r="L2" s="31"/>
      <c r="M2" s="31" t="s">
        <v>2</v>
      </c>
      <c r="N2" s="31"/>
      <c r="O2" s="31"/>
      <c r="P2" s="31" t="s">
        <v>3</v>
      </c>
      <c r="Q2" s="31"/>
      <c r="R2" s="31"/>
      <c r="S2" s="38" t="s">
        <v>4</v>
      </c>
      <c r="T2" s="39"/>
      <c r="U2" s="40"/>
    </row>
    <row r="3" spans="1:21" ht="15" customHeight="1">
      <c r="A3" s="44" t="s">
        <v>11</v>
      </c>
      <c r="B3" s="44" t="s">
        <v>12</v>
      </c>
      <c r="C3" s="37" t="s">
        <v>13</v>
      </c>
      <c r="D3" s="37" t="s">
        <v>14</v>
      </c>
      <c r="E3" s="37" t="s">
        <v>15</v>
      </c>
      <c r="F3" s="37" t="s">
        <v>16</v>
      </c>
      <c r="G3" s="32" t="s">
        <v>5</v>
      </c>
      <c r="H3" s="32"/>
      <c r="I3" s="32" t="s">
        <v>6</v>
      </c>
      <c r="J3" s="32"/>
      <c r="K3" s="33" t="s">
        <v>8</v>
      </c>
      <c r="L3" s="33"/>
      <c r="M3" s="34" t="s">
        <v>5</v>
      </c>
      <c r="N3" s="35" t="s">
        <v>7</v>
      </c>
      <c r="O3" s="37" t="s">
        <v>8</v>
      </c>
      <c r="P3" s="37" t="s">
        <v>27</v>
      </c>
      <c r="Q3" s="37" t="s">
        <v>28</v>
      </c>
      <c r="R3" s="44" t="s">
        <v>29</v>
      </c>
      <c r="S3" s="37" t="s">
        <v>9</v>
      </c>
      <c r="T3" s="37" t="s">
        <v>10</v>
      </c>
      <c r="U3" s="44" t="s">
        <v>29</v>
      </c>
    </row>
    <row r="4" spans="1:21" ht="14" customHeight="1">
      <c r="A4" s="45"/>
      <c r="B4" s="45"/>
      <c r="C4" s="37"/>
      <c r="D4" s="37"/>
      <c r="E4" s="37"/>
      <c r="F4" s="37"/>
      <c r="G4" s="6" t="s">
        <v>25</v>
      </c>
      <c r="H4" s="6" t="s">
        <v>26</v>
      </c>
      <c r="I4" s="6" t="s">
        <v>25</v>
      </c>
      <c r="J4" s="6" t="s">
        <v>26</v>
      </c>
      <c r="K4" s="6" t="s">
        <v>25</v>
      </c>
      <c r="L4" s="6" t="s">
        <v>26</v>
      </c>
      <c r="M4" s="34"/>
      <c r="N4" s="36"/>
      <c r="O4" s="37"/>
      <c r="P4" s="37"/>
      <c r="Q4" s="37"/>
      <c r="R4" s="45"/>
      <c r="S4" s="37"/>
      <c r="T4" s="37"/>
      <c r="U4" s="45"/>
    </row>
    <row r="5" spans="1:21">
      <c r="A5" s="11">
        <v>4</v>
      </c>
      <c r="B5" s="1">
        <v>9</v>
      </c>
      <c r="C5" s="11" t="s">
        <v>17</v>
      </c>
      <c r="D5" s="1" t="s">
        <v>18</v>
      </c>
      <c r="E5" s="11" t="s">
        <v>19</v>
      </c>
      <c r="F5" s="1" t="s">
        <v>20</v>
      </c>
      <c r="G5" s="12">
        <v>3.17</v>
      </c>
      <c r="H5" s="2">
        <v>2.71</v>
      </c>
      <c r="I5" s="12">
        <v>3.51</v>
      </c>
      <c r="J5" s="2">
        <v>3.17</v>
      </c>
      <c r="K5" s="12">
        <v>2.83</v>
      </c>
      <c r="L5" s="2">
        <v>2.25</v>
      </c>
      <c r="M5" s="27">
        <v>4.8399999999999999E-2</v>
      </c>
      <c r="N5" s="27">
        <v>0.46189999999999998</v>
      </c>
      <c r="O5" s="27">
        <v>0.19670000000000001</v>
      </c>
      <c r="P5" s="12">
        <v>40</v>
      </c>
      <c r="Q5" s="7">
        <v>46.7</v>
      </c>
      <c r="R5" s="7">
        <v>6.7</v>
      </c>
      <c r="S5" s="12">
        <v>58.14</v>
      </c>
      <c r="T5" s="2">
        <v>130.82</v>
      </c>
      <c r="U5" s="4">
        <v>72.679999999999993</v>
      </c>
    </row>
    <row r="6" spans="1:21">
      <c r="A6" s="1">
        <v>6</v>
      </c>
      <c r="B6" s="11">
        <v>8</v>
      </c>
      <c r="C6" s="5" t="s">
        <v>21</v>
      </c>
      <c r="D6" s="11" t="s">
        <v>22</v>
      </c>
      <c r="E6" s="5" t="s">
        <v>23</v>
      </c>
      <c r="F6" s="11" t="s">
        <v>24</v>
      </c>
      <c r="G6" s="2">
        <v>1.95</v>
      </c>
      <c r="H6" s="12">
        <v>2.48</v>
      </c>
      <c r="I6" s="2">
        <v>1.98</v>
      </c>
      <c r="J6" s="12">
        <v>2.81</v>
      </c>
      <c r="K6" s="2">
        <v>1.93</v>
      </c>
      <c r="L6" s="12">
        <v>2.14</v>
      </c>
      <c r="M6" s="27">
        <v>1.04E-2</v>
      </c>
      <c r="N6" s="27">
        <v>0</v>
      </c>
      <c r="O6" s="27">
        <v>0.99739999999999995</v>
      </c>
      <c r="P6" s="7">
        <v>31.4</v>
      </c>
      <c r="Q6" s="12">
        <v>30</v>
      </c>
      <c r="R6" s="7">
        <v>1.4</v>
      </c>
      <c r="S6" s="2">
        <v>87.21</v>
      </c>
      <c r="T6" s="12">
        <v>120.76</v>
      </c>
      <c r="U6" s="4">
        <v>33.550000000000011</v>
      </c>
    </row>
    <row r="7" spans="1:21" ht="29" customHeight="1">
      <c r="A7" s="30" t="s">
        <v>174</v>
      </c>
      <c r="B7" s="30"/>
      <c r="C7" s="30"/>
      <c r="D7" s="30"/>
      <c r="E7" s="30"/>
      <c r="F7" s="30"/>
      <c r="G7" s="30"/>
      <c r="H7" s="30"/>
      <c r="I7" s="30"/>
      <c r="J7" s="30"/>
      <c r="K7" s="30"/>
      <c r="L7" s="30"/>
      <c r="M7" s="30"/>
      <c r="N7" s="30"/>
      <c r="O7" s="30"/>
      <c r="P7" s="30"/>
      <c r="Q7" s="30"/>
      <c r="R7" s="30"/>
      <c r="S7" s="30"/>
      <c r="T7" s="30"/>
      <c r="U7" s="30"/>
    </row>
  </sheetData>
  <mergeCells count="25">
    <mergeCell ref="T3:T4"/>
    <mergeCell ref="U3:U4"/>
    <mergeCell ref="G2:L2"/>
    <mergeCell ref="M2:O2"/>
    <mergeCell ref="F3:F4"/>
    <mergeCell ref="P3:P4"/>
    <mergeCell ref="Q3:Q4"/>
    <mergeCell ref="R3:R4"/>
    <mergeCell ref="S3:S4"/>
    <mergeCell ref="A1:U1"/>
    <mergeCell ref="A7:U7"/>
    <mergeCell ref="P2:R2"/>
    <mergeCell ref="G3:H3"/>
    <mergeCell ref="I3:J3"/>
    <mergeCell ref="K3:L3"/>
    <mergeCell ref="M3:M4"/>
    <mergeCell ref="N3:N4"/>
    <mergeCell ref="O3:O4"/>
    <mergeCell ref="S2:U2"/>
    <mergeCell ref="A2:F2"/>
    <mergeCell ref="A3:A4"/>
    <mergeCell ref="B3:B4"/>
    <mergeCell ref="C3:C4"/>
    <mergeCell ref="D3:D4"/>
    <mergeCell ref="E3:E4"/>
  </mergeCells>
  <phoneticPr fontId="1" type="noConversion"/>
  <pageMargins left="0.75" right="0.75" top="1" bottom="1" header="0.5" footer="0.5"/>
  <pageSetup scale="59" orientation="landscape"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U35"/>
  <sheetViews>
    <sheetView tabSelected="1" workbookViewId="0">
      <selection sqref="A1:U1"/>
    </sheetView>
  </sheetViews>
  <sheetFormatPr baseColWidth="10" defaultRowHeight="15" x14ac:dyDescent="0"/>
  <cols>
    <col min="1" max="2" width="6" customWidth="1"/>
    <col min="3" max="4" width="8.83203125" customWidth="1"/>
    <col min="5" max="6" width="14" customWidth="1"/>
    <col min="7" max="12" width="7.83203125" customWidth="1"/>
    <col min="13" max="15" width="9.5" customWidth="1"/>
    <col min="16" max="18" width="9.6640625" customWidth="1"/>
    <col min="21" max="21" width="9.6640625" customWidth="1"/>
  </cols>
  <sheetData>
    <row r="1" spans="1:21" ht="30" customHeight="1">
      <c r="A1" s="29" t="s">
        <v>173</v>
      </c>
      <c r="B1" s="29"/>
      <c r="C1" s="29"/>
      <c r="D1" s="29"/>
      <c r="E1" s="29"/>
      <c r="F1" s="29"/>
      <c r="G1" s="29"/>
      <c r="H1" s="29"/>
      <c r="I1" s="29"/>
      <c r="J1" s="29"/>
      <c r="K1" s="29"/>
      <c r="L1" s="29"/>
      <c r="M1" s="29"/>
      <c r="N1" s="29"/>
      <c r="O1" s="29"/>
      <c r="P1" s="29"/>
      <c r="Q1" s="29"/>
      <c r="R1" s="29"/>
      <c r="S1" s="29"/>
      <c r="T1" s="29"/>
      <c r="U1" s="29"/>
    </row>
    <row r="2" spans="1:21">
      <c r="A2" s="49" t="s">
        <v>0</v>
      </c>
      <c r="B2" s="50"/>
      <c r="C2" s="50"/>
      <c r="D2" s="50"/>
      <c r="E2" s="50"/>
      <c r="F2" s="51"/>
      <c r="G2" s="52" t="s">
        <v>1</v>
      </c>
      <c r="H2" s="52"/>
      <c r="I2" s="52"/>
      <c r="J2" s="52"/>
      <c r="K2" s="52"/>
      <c r="L2" s="52"/>
      <c r="M2" s="52" t="s">
        <v>2</v>
      </c>
      <c r="N2" s="52"/>
      <c r="O2" s="52"/>
      <c r="P2" s="52" t="s">
        <v>3</v>
      </c>
      <c r="Q2" s="52"/>
      <c r="R2" s="52"/>
      <c r="S2" s="46" t="s">
        <v>4</v>
      </c>
      <c r="T2" s="47"/>
      <c r="U2" s="48"/>
    </row>
    <row r="3" spans="1:21" ht="15" customHeight="1">
      <c r="A3" s="44" t="s">
        <v>11</v>
      </c>
      <c r="B3" s="44" t="s">
        <v>12</v>
      </c>
      <c r="C3" s="37" t="s">
        <v>13</v>
      </c>
      <c r="D3" s="37" t="s">
        <v>14</v>
      </c>
      <c r="E3" s="37" t="s">
        <v>15</v>
      </c>
      <c r="F3" s="37" t="s">
        <v>16</v>
      </c>
      <c r="G3" s="32" t="s">
        <v>5</v>
      </c>
      <c r="H3" s="32"/>
      <c r="I3" s="32" t="s">
        <v>6</v>
      </c>
      <c r="J3" s="32"/>
      <c r="K3" s="33" t="s">
        <v>8</v>
      </c>
      <c r="L3" s="33"/>
      <c r="M3" s="34" t="s">
        <v>5</v>
      </c>
      <c r="N3" s="35" t="s">
        <v>7</v>
      </c>
      <c r="O3" s="37" t="s">
        <v>8</v>
      </c>
      <c r="P3" s="37" t="s">
        <v>27</v>
      </c>
      <c r="Q3" s="37" t="s">
        <v>28</v>
      </c>
      <c r="R3" s="44" t="s">
        <v>29</v>
      </c>
      <c r="S3" s="37" t="s">
        <v>9</v>
      </c>
      <c r="T3" s="37" t="s">
        <v>10</v>
      </c>
      <c r="U3" s="44" t="s">
        <v>29</v>
      </c>
    </row>
    <row r="4" spans="1:21" ht="14" customHeight="1">
      <c r="A4" s="45"/>
      <c r="B4" s="45"/>
      <c r="C4" s="37"/>
      <c r="D4" s="37"/>
      <c r="E4" s="37"/>
      <c r="F4" s="37"/>
      <c r="G4" s="6" t="s">
        <v>25</v>
      </c>
      <c r="H4" s="6" t="s">
        <v>26</v>
      </c>
      <c r="I4" s="6" t="s">
        <v>25</v>
      </c>
      <c r="J4" s="6" t="s">
        <v>26</v>
      </c>
      <c r="K4" s="6" t="s">
        <v>25</v>
      </c>
      <c r="L4" s="6" t="s">
        <v>26</v>
      </c>
      <c r="M4" s="34"/>
      <c r="N4" s="36"/>
      <c r="O4" s="37"/>
      <c r="P4" s="37"/>
      <c r="Q4" s="37"/>
      <c r="R4" s="45"/>
      <c r="S4" s="37"/>
      <c r="T4" s="37"/>
      <c r="U4" s="45"/>
    </row>
    <row r="5" spans="1:21">
      <c r="A5" s="13">
        <v>4</v>
      </c>
      <c r="B5" s="14">
        <v>66</v>
      </c>
      <c r="C5" s="11" t="s">
        <v>31</v>
      </c>
      <c r="D5" s="1" t="s">
        <v>32</v>
      </c>
      <c r="E5" s="20"/>
      <c r="F5" s="21"/>
      <c r="G5" s="10">
        <v>2.1</v>
      </c>
      <c r="H5" s="8">
        <v>1.2</v>
      </c>
      <c r="I5" s="10">
        <v>2</v>
      </c>
      <c r="J5" s="8">
        <v>1.2666666666666699</v>
      </c>
      <c r="K5" s="10">
        <v>2.2000000000000002</v>
      </c>
      <c r="L5" s="8">
        <v>1.13333333333333</v>
      </c>
      <c r="M5" s="3">
        <v>2.6265422193239002E-4</v>
      </c>
      <c r="N5" s="3">
        <v>0.38282585743801001</v>
      </c>
      <c r="O5" s="3">
        <v>4.6078439999999998E-2</v>
      </c>
      <c r="P5" s="12">
        <v>15</v>
      </c>
      <c r="Q5" s="7">
        <v>18.329999999999998</v>
      </c>
      <c r="R5" s="7">
        <v>3.33</v>
      </c>
      <c r="S5" s="10">
        <v>15.39</v>
      </c>
      <c r="T5" s="8">
        <v>20.1299999999999</v>
      </c>
      <c r="U5" s="8">
        <v>4.739999999999899</v>
      </c>
    </row>
    <row r="6" spans="1:21">
      <c r="A6" s="13">
        <v>13</v>
      </c>
      <c r="B6" s="14">
        <v>65</v>
      </c>
      <c r="C6" s="11" t="s">
        <v>136</v>
      </c>
      <c r="D6" s="5" t="s">
        <v>33</v>
      </c>
      <c r="E6" s="20"/>
      <c r="F6" s="21"/>
      <c r="G6" s="10">
        <v>2.6</v>
      </c>
      <c r="H6" s="8">
        <v>1.8</v>
      </c>
      <c r="I6" s="10">
        <v>2.7333333333333298</v>
      </c>
      <c r="J6" s="8">
        <v>2</v>
      </c>
      <c r="K6" s="10">
        <v>2.4666666666666699</v>
      </c>
      <c r="L6" s="8">
        <v>1.6</v>
      </c>
      <c r="M6" s="3">
        <v>4.7131131995081796E-3</v>
      </c>
      <c r="N6" s="3">
        <v>0.38282585743800801</v>
      </c>
      <c r="O6" s="3">
        <v>0.43962236199999999</v>
      </c>
      <c r="P6" s="12">
        <v>28.89</v>
      </c>
      <c r="Q6" s="7">
        <v>28.89</v>
      </c>
      <c r="R6" s="7">
        <v>0</v>
      </c>
      <c r="S6" s="10">
        <v>29.07</v>
      </c>
      <c r="T6" s="8">
        <v>32.71</v>
      </c>
      <c r="U6" s="8">
        <v>3.6400000000000006</v>
      </c>
    </row>
    <row r="7" spans="1:21">
      <c r="A7" s="13">
        <v>14</v>
      </c>
      <c r="B7" s="14">
        <v>32</v>
      </c>
      <c r="C7" s="11" t="s">
        <v>34</v>
      </c>
      <c r="D7" s="1" t="s">
        <v>54</v>
      </c>
      <c r="E7" s="20"/>
      <c r="F7" s="21"/>
      <c r="G7" s="10">
        <v>2.7</v>
      </c>
      <c r="H7" s="8">
        <v>1.9</v>
      </c>
      <c r="I7" s="10">
        <v>2.93333333333333</v>
      </c>
      <c r="J7" s="8">
        <v>1.8</v>
      </c>
      <c r="K7" s="10">
        <v>2.4666666666666699</v>
      </c>
      <c r="L7" s="8">
        <v>2</v>
      </c>
      <c r="M7" s="3">
        <v>4.7131131995081796E-3</v>
      </c>
      <c r="N7" s="3">
        <v>2.2999691635761099E-4</v>
      </c>
      <c r="O7" s="3">
        <v>0.99999759700000002</v>
      </c>
      <c r="P7" s="10">
        <v>9.49</v>
      </c>
      <c r="Q7" s="8">
        <v>10.86</v>
      </c>
      <c r="R7" s="8">
        <v>1.37</v>
      </c>
      <c r="S7" s="10">
        <v>28.37</v>
      </c>
      <c r="T7" s="8">
        <v>32.25</v>
      </c>
      <c r="U7" s="8">
        <v>3.879999999999999</v>
      </c>
    </row>
    <row r="8" spans="1:21">
      <c r="A8" s="13">
        <v>14</v>
      </c>
      <c r="B8" s="14">
        <v>34</v>
      </c>
      <c r="C8" s="11" t="s">
        <v>34</v>
      </c>
      <c r="D8" s="1" t="s">
        <v>55</v>
      </c>
      <c r="E8" s="20"/>
      <c r="F8" s="21" t="s">
        <v>56</v>
      </c>
      <c r="G8" s="10">
        <v>2.7</v>
      </c>
      <c r="H8" s="8">
        <v>1.93333333333333</v>
      </c>
      <c r="I8" s="10">
        <v>2.93333333333333</v>
      </c>
      <c r="J8" s="8">
        <v>1.6666666666666701</v>
      </c>
      <c r="K8" s="10">
        <v>2.4666666666666699</v>
      </c>
      <c r="L8" s="8">
        <v>2.2000000000000002</v>
      </c>
      <c r="M8" s="3">
        <v>1.11861715056533E-2</v>
      </c>
      <c r="N8" s="3">
        <v>1.57481903172441E-5</v>
      </c>
      <c r="O8" s="3">
        <v>1</v>
      </c>
      <c r="P8" s="10">
        <v>9.49</v>
      </c>
      <c r="Q8" s="8">
        <v>10.5</v>
      </c>
      <c r="R8" s="8">
        <v>1.01</v>
      </c>
      <c r="S8" s="10">
        <v>28.37</v>
      </c>
      <c r="T8" s="8">
        <v>50.96</v>
      </c>
      <c r="U8" s="8">
        <v>22.59</v>
      </c>
    </row>
    <row r="9" spans="1:21">
      <c r="A9" s="13">
        <v>14</v>
      </c>
      <c r="B9" s="14">
        <v>49</v>
      </c>
      <c r="C9" s="11" t="s">
        <v>34</v>
      </c>
      <c r="D9" s="1" t="s">
        <v>52</v>
      </c>
      <c r="E9" s="20"/>
      <c r="F9" s="21"/>
      <c r="G9" s="10">
        <v>2.7</v>
      </c>
      <c r="H9" s="8">
        <v>1.93333333333333</v>
      </c>
      <c r="I9" s="10">
        <v>2.93333333333333</v>
      </c>
      <c r="J9" s="8">
        <v>1.93333333333333</v>
      </c>
      <c r="K9" s="10">
        <v>2.4666666666666699</v>
      </c>
      <c r="L9" s="8">
        <v>1.93333333333333</v>
      </c>
      <c r="M9" s="3">
        <v>1.11861715056533E-2</v>
      </c>
      <c r="N9" s="3">
        <v>4.9763781084676299E-3</v>
      </c>
      <c r="O9" s="3">
        <v>0.99981849899999997</v>
      </c>
      <c r="P9" s="10">
        <v>9.49</v>
      </c>
      <c r="Q9" s="8">
        <v>39.049999999999997</v>
      </c>
      <c r="R9" s="8">
        <v>29.56</v>
      </c>
      <c r="S9" s="10">
        <v>28.37</v>
      </c>
      <c r="T9" s="8">
        <v>74.75</v>
      </c>
      <c r="U9" s="8">
        <v>46.379999999999995</v>
      </c>
    </row>
    <row r="10" spans="1:21">
      <c r="A10" s="13">
        <v>14</v>
      </c>
      <c r="B10" s="14">
        <v>58</v>
      </c>
      <c r="C10" s="11" t="s">
        <v>34</v>
      </c>
      <c r="D10" s="1" t="s">
        <v>57</v>
      </c>
      <c r="E10" s="20"/>
      <c r="F10" s="21"/>
      <c r="G10" s="10">
        <v>2.7</v>
      </c>
      <c r="H10" s="8">
        <v>1.9666666666666699</v>
      </c>
      <c r="I10" s="10">
        <v>2.93333333333333</v>
      </c>
      <c r="J10" s="8">
        <v>2.1333333333333302</v>
      </c>
      <c r="K10" s="10">
        <v>2.4666666666666699</v>
      </c>
      <c r="L10" s="8">
        <v>1.8</v>
      </c>
      <c r="M10" s="3">
        <v>2.5061257306356399E-2</v>
      </c>
      <c r="N10" s="3">
        <v>0.17283089672176799</v>
      </c>
      <c r="O10" s="3">
        <v>0.96771069899999995</v>
      </c>
      <c r="P10" s="10">
        <v>9.49</v>
      </c>
      <c r="Q10" s="8">
        <v>37.78</v>
      </c>
      <c r="R10" s="8">
        <v>28.29</v>
      </c>
      <c r="S10" s="10">
        <v>28.37</v>
      </c>
      <c r="T10" s="8">
        <v>35.68</v>
      </c>
      <c r="U10" s="8">
        <v>7.3099999999999987</v>
      </c>
    </row>
    <row r="11" spans="1:21">
      <c r="A11" s="13">
        <v>14</v>
      </c>
      <c r="B11" s="14">
        <v>65</v>
      </c>
      <c r="C11" s="11" t="s">
        <v>34</v>
      </c>
      <c r="D11" s="1" t="s">
        <v>33</v>
      </c>
      <c r="E11" s="20"/>
      <c r="F11" s="22"/>
      <c r="G11" s="10">
        <v>2.7</v>
      </c>
      <c r="H11" s="8">
        <v>1.8</v>
      </c>
      <c r="I11" s="10">
        <v>2.93333333333333</v>
      </c>
      <c r="J11" s="8">
        <v>2</v>
      </c>
      <c r="K11" s="10">
        <v>2.4666666666666699</v>
      </c>
      <c r="L11" s="8">
        <v>1.6</v>
      </c>
      <c r="M11" s="3">
        <v>2.6265422193239002E-4</v>
      </c>
      <c r="N11" s="3">
        <v>1.91334656153971E-2</v>
      </c>
      <c r="O11" s="3">
        <v>0.43962236199999999</v>
      </c>
      <c r="P11" s="10">
        <v>9.49</v>
      </c>
      <c r="Q11" s="8">
        <v>28.89</v>
      </c>
      <c r="R11" s="8">
        <v>19.399999999999999</v>
      </c>
      <c r="S11" s="10">
        <v>28.37</v>
      </c>
      <c r="T11" s="8">
        <v>32.71</v>
      </c>
      <c r="U11" s="8">
        <v>4.34</v>
      </c>
    </row>
    <row r="12" spans="1:21">
      <c r="A12" s="13">
        <v>15</v>
      </c>
      <c r="B12" s="14">
        <v>62</v>
      </c>
      <c r="C12" s="11" t="s">
        <v>35</v>
      </c>
      <c r="D12" s="1" t="s">
        <v>58</v>
      </c>
      <c r="E12" s="20"/>
      <c r="F12" s="21"/>
      <c r="G12" s="10">
        <v>2.3666666666666698</v>
      </c>
      <c r="H12" s="8">
        <v>1.5333333333333301</v>
      </c>
      <c r="I12" s="10">
        <v>2.6</v>
      </c>
      <c r="J12" s="8">
        <v>1.5333333333333301</v>
      </c>
      <c r="K12" s="10">
        <v>2.1333333333333302</v>
      </c>
      <c r="L12" s="8">
        <v>1.5333333333333301</v>
      </c>
      <c r="M12" s="3">
        <v>1.8826070492841099E-3</v>
      </c>
      <c r="N12" s="3">
        <v>1.12919619487162E-3</v>
      </c>
      <c r="O12" s="3">
        <v>0.996111105</v>
      </c>
      <c r="P12" s="10">
        <v>5.87</v>
      </c>
      <c r="Q12" s="8">
        <v>7.78</v>
      </c>
      <c r="R12" s="8">
        <v>1.9</v>
      </c>
      <c r="S12" s="10">
        <v>27.84</v>
      </c>
      <c r="T12" s="8">
        <v>36.009999999999899</v>
      </c>
      <c r="U12" s="8">
        <v>8.1699999999998987</v>
      </c>
    </row>
    <row r="13" spans="1:21">
      <c r="A13" s="13">
        <v>16</v>
      </c>
      <c r="B13" s="14">
        <v>49</v>
      </c>
      <c r="C13" s="11" t="s">
        <v>36</v>
      </c>
      <c r="D13" s="1" t="s">
        <v>52</v>
      </c>
      <c r="E13" s="20" t="s">
        <v>37</v>
      </c>
      <c r="F13" s="21"/>
      <c r="G13" s="10">
        <v>2.93333333333333</v>
      </c>
      <c r="H13" s="8">
        <v>1.93333333333333</v>
      </c>
      <c r="I13" s="10">
        <v>3.1333333333333302</v>
      </c>
      <c r="J13" s="8">
        <v>1.93333333333333</v>
      </c>
      <c r="K13" s="10">
        <v>2.7333333333333298</v>
      </c>
      <c r="L13" s="8">
        <v>1.93333333333333</v>
      </c>
      <c r="M13" s="3">
        <v>1.84881914722101E-5</v>
      </c>
      <c r="N13" s="3">
        <v>4.78335722070566E-5</v>
      </c>
      <c r="O13" s="3">
        <v>0.67400000000000004</v>
      </c>
      <c r="P13" s="10">
        <v>25</v>
      </c>
      <c r="Q13" s="8">
        <v>39.049999999999997</v>
      </c>
      <c r="R13" s="8">
        <v>14.05</v>
      </c>
      <c r="S13" s="10">
        <v>27.07</v>
      </c>
      <c r="T13" s="8">
        <v>74.75</v>
      </c>
      <c r="U13" s="8">
        <v>47.68</v>
      </c>
    </row>
    <row r="14" spans="1:21">
      <c r="A14" s="13">
        <v>16</v>
      </c>
      <c r="B14" s="14">
        <v>58</v>
      </c>
      <c r="C14" s="11" t="s">
        <v>36</v>
      </c>
      <c r="D14" s="1" t="s">
        <v>57</v>
      </c>
      <c r="E14" s="20" t="s">
        <v>37</v>
      </c>
      <c r="F14" s="21"/>
      <c r="G14" s="10">
        <v>2.93333333333333</v>
      </c>
      <c r="H14" s="8">
        <v>1.9666666666666699</v>
      </c>
      <c r="I14" s="10">
        <v>3.1333333333333302</v>
      </c>
      <c r="J14" s="8">
        <v>2.1333333333333302</v>
      </c>
      <c r="K14" s="10">
        <v>2.7333333333333298</v>
      </c>
      <c r="L14" s="8">
        <v>1.8</v>
      </c>
      <c r="M14" s="3">
        <v>3.7628163922165399E-5</v>
      </c>
      <c r="N14" s="3">
        <v>4.9763781084676299E-3</v>
      </c>
      <c r="O14" s="3">
        <v>0.24090603699999999</v>
      </c>
      <c r="P14" s="10">
        <v>25</v>
      </c>
      <c r="Q14" s="8">
        <v>37.78</v>
      </c>
      <c r="R14" s="8">
        <v>12.78</v>
      </c>
      <c r="S14" s="10">
        <v>27.07</v>
      </c>
      <c r="T14" s="8">
        <v>35.68</v>
      </c>
      <c r="U14" s="8">
        <v>8.61</v>
      </c>
    </row>
    <row r="15" spans="1:21">
      <c r="A15" s="13">
        <v>16</v>
      </c>
      <c r="B15" s="14">
        <v>65</v>
      </c>
      <c r="C15" s="11" t="s">
        <v>36</v>
      </c>
      <c r="D15" s="1" t="s">
        <v>33</v>
      </c>
      <c r="E15" s="20" t="s">
        <v>37</v>
      </c>
      <c r="F15" s="22"/>
      <c r="G15" s="10">
        <v>2.93333333333333</v>
      </c>
      <c r="H15" s="8">
        <v>1.8</v>
      </c>
      <c r="I15" s="10">
        <v>3.1333333333333302</v>
      </c>
      <c r="J15" s="8">
        <v>2</v>
      </c>
      <c r="K15" s="10">
        <v>2.7333333333333298</v>
      </c>
      <c r="L15" s="8">
        <v>1.6</v>
      </c>
      <c r="M15" s="3">
        <v>1.0110979620559E-5</v>
      </c>
      <c r="N15" s="3">
        <v>2.2999691635761099E-4</v>
      </c>
      <c r="O15" s="3">
        <v>1.6703336999999999E-2</v>
      </c>
      <c r="P15" s="10">
        <v>25</v>
      </c>
      <c r="Q15" s="8">
        <v>28.89</v>
      </c>
      <c r="R15" s="8">
        <v>3.89</v>
      </c>
      <c r="S15" s="10">
        <v>27.07</v>
      </c>
      <c r="T15" s="8">
        <v>32.71</v>
      </c>
      <c r="U15" s="8">
        <v>5.6400000000000006</v>
      </c>
    </row>
    <row r="16" spans="1:21">
      <c r="A16" s="14">
        <v>24</v>
      </c>
      <c r="B16" s="13">
        <v>25</v>
      </c>
      <c r="C16" s="1" t="s">
        <v>38</v>
      </c>
      <c r="D16" s="11" t="s">
        <v>40</v>
      </c>
      <c r="E16" s="21" t="s">
        <v>39</v>
      </c>
      <c r="F16" s="20" t="s">
        <v>41</v>
      </c>
      <c r="G16" s="8">
        <v>2.3666666666666698</v>
      </c>
      <c r="H16" s="10">
        <v>3.4</v>
      </c>
      <c r="I16" s="8">
        <v>2.4666666666666699</v>
      </c>
      <c r="J16" s="10">
        <v>3.3333333333333299</v>
      </c>
      <c r="K16" s="8">
        <v>2.2666666666666702</v>
      </c>
      <c r="L16" s="10">
        <v>3.4666666666666699</v>
      </c>
      <c r="M16" s="3">
        <v>1.25101395752614E-5</v>
      </c>
      <c r="N16" s="3">
        <v>6.2963154297882504E-2</v>
      </c>
      <c r="O16" s="3">
        <v>5.4488879999999998E-3</v>
      </c>
      <c r="P16" s="8">
        <v>42.86</v>
      </c>
      <c r="Q16" s="10">
        <v>20</v>
      </c>
      <c r="R16" s="8">
        <v>22.86</v>
      </c>
      <c r="S16" s="8">
        <v>43.6</v>
      </c>
      <c r="T16" s="10">
        <v>42.43</v>
      </c>
      <c r="U16" s="8">
        <v>1.1700000000000017</v>
      </c>
    </row>
    <row r="17" spans="1:21">
      <c r="A17" s="14">
        <v>24</v>
      </c>
      <c r="B17" s="13">
        <v>26</v>
      </c>
      <c r="C17" s="1" t="s">
        <v>38</v>
      </c>
      <c r="D17" s="11" t="s">
        <v>59</v>
      </c>
      <c r="E17" s="21" t="s">
        <v>39</v>
      </c>
      <c r="F17" s="20" t="s">
        <v>60</v>
      </c>
      <c r="G17" s="8">
        <v>2.3666666666666698</v>
      </c>
      <c r="H17" s="10">
        <v>3.6333333333333302</v>
      </c>
      <c r="I17" s="8">
        <v>2.4666666666666699</v>
      </c>
      <c r="J17" s="10">
        <v>3.8666666666666698</v>
      </c>
      <c r="K17" s="8">
        <v>2.2666666666666702</v>
      </c>
      <c r="L17" s="10">
        <v>3.4</v>
      </c>
      <c r="M17" s="3">
        <v>1.00678824979106E-5</v>
      </c>
      <c r="N17" s="3">
        <v>1.01536230663335E-5</v>
      </c>
      <c r="O17" s="3">
        <v>1.67E-2</v>
      </c>
      <c r="P17" s="8">
        <v>42.86</v>
      </c>
      <c r="Q17" s="10">
        <v>40</v>
      </c>
      <c r="R17" s="8">
        <v>2.86</v>
      </c>
      <c r="S17" s="8">
        <v>43.6</v>
      </c>
      <c r="T17" s="10">
        <v>41.31</v>
      </c>
      <c r="U17" s="8">
        <v>2.2899999999999991</v>
      </c>
    </row>
    <row r="18" spans="1:21">
      <c r="A18" s="14">
        <v>24</v>
      </c>
      <c r="B18" s="13">
        <v>40</v>
      </c>
      <c r="C18" s="1" t="s">
        <v>38</v>
      </c>
      <c r="D18" s="11" t="s">
        <v>48</v>
      </c>
      <c r="E18" s="21" t="s">
        <v>39</v>
      </c>
      <c r="F18" s="20" t="s">
        <v>49</v>
      </c>
      <c r="G18" s="8">
        <v>2.3666666666666698</v>
      </c>
      <c r="H18" s="10">
        <v>3.1333333333333302</v>
      </c>
      <c r="I18" s="8">
        <v>2.4666666666666699</v>
      </c>
      <c r="J18" s="10">
        <v>3.2666666666666702</v>
      </c>
      <c r="K18" s="8">
        <v>2.2666666666666702</v>
      </c>
      <c r="L18" s="10">
        <v>3</v>
      </c>
      <c r="M18" s="3">
        <v>1.11861715056532E-2</v>
      </c>
      <c r="N18" s="3">
        <v>0.17283089672176799</v>
      </c>
      <c r="O18" s="3">
        <v>0.86749630899999997</v>
      </c>
      <c r="P18" s="8">
        <v>42.86</v>
      </c>
      <c r="Q18" s="10">
        <v>30.56</v>
      </c>
      <c r="R18" s="8">
        <v>12.3</v>
      </c>
      <c r="S18" s="8">
        <v>43.6</v>
      </c>
      <c r="T18" s="10">
        <v>34.119999999999898</v>
      </c>
      <c r="U18" s="8">
        <v>9.4800000000001035</v>
      </c>
    </row>
    <row r="19" spans="1:21">
      <c r="A19" s="13">
        <v>25</v>
      </c>
      <c r="B19" s="14">
        <v>37</v>
      </c>
      <c r="C19" s="11" t="s">
        <v>40</v>
      </c>
      <c r="D19" s="1" t="s">
        <v>61</v>
      </c>
      <c r="E19" s="20" t="s">
        <v>41</v>
      </c>
      <c r="F19" s="21"/>
      <c r="G19" s="10">
        <v>3.4</v>
      </c>
      <c r="H19" s="8">
        <v>2.6</v>
      </c>
      <c r="I19" s="10">
        <v>3.3333333333333299</v>
      </c>
      <c r="J19" s="8">
        <v>2.8</v>
      </c>
      <c r="K19" s="10">
        <v>3.4666666666666699</v>
      </c>
      <c r="L19" s="8">
        <v>2.4</v>
      </c>
      <c r="M19" s="3">
        <v>4.7131131995081796E-3</v>
      </c>
      <c r="N19" s="3">
        <v>0.983424573862556</v>
      </c>
      <c r="O19" s="3">
        <v>4.6078439999999998E-2</v>
      </c>
      <c r="P19" s="10">
        <v>20</v>
      </c>
      <c r="Q19" s="8">
        <v>23.33</v>
      </c>
      <c r="R19" s="8">
        <v>3.33</v>
      </c>
      <c r="S19" s="10">
        <v>42.43</v>
      </c>
      <c r="T19" s="8">
        <v>47.57</v>
      </c>
      <c r="U19" s="8">
        <v>5.1400000000000006</v>
      </c>
    </row>
    <row r="20" spans="1:21">
      <c r="A20" s="13">
        <v>25</v>
      </c>
      <c r="B20" s="14">
        <v>49</v>
      </c>
      <c r="C20" s="11" t="s">
        <v>40</v>
      </c>
      <c r="D20" s="1" t="s">
        <v>52</v>
      </c>
      <c r="E20" s="20" t="s">
        <v>41</v>
      </c>
      <c r="F20" s="21"/>
      <c r="G20" s="10">
        <v>3.4</v>
      </c>
      <c r="H20" s="8">
        <v>1.93333333333333</v>
      </c>
      <c r="I20" s="10">
        <v>3.3333333333333299</v>
      </c>
      <c r="J20" s="8">
        <v>1.93333333333333</v>
      </c>
      <c r="K20" s="10">
        <v>3.4666666666666699</v>
      </c>
      <c r="L20" s="8">
        <v>1.93333333333333</v>
      </c>
      <c r="M20" s="3">
        <v>1.0067794120271999E-5</v>
      </c>
      <c r="N20" s="3">
        <v>1.01536230663335E-5</v>
      </c>
      <c r="O20" s="3">
        <v>1.49E-5</v>
      </c>
      <c r="P20" s="10">
        <v>20</v>
      </c>
      <c r="Q20" s="8">
        <v>39.049999999999997</v>
      </c>
      <c r="R20" s="8">
        <v>19.05</v>
      </c>
      <c r="S20" s="10">
        <v>42.43</v>
      </c>
      <c r="T20" s="8">
        <v>74.75</v>
      </c>
      <c r="U20" s="8">
        <v>32.32</v>
      </c>
    </row>
    <row r="21" spans="1:21">
      <c r="A21" s="13">
        <v>25</v>
      </c>
      <c r="B21" s="14">
        <v>51</v>
      </c>
      <c r="C21" s="11" t="s">
        <v>40</v>
      </c>
      <c r="D21" s="1" t="s">
        <v>53</v>
      </c>
      <c r="E21" s="20" t="s">
        <v>41</v>
      </c>
      <c r="F21" s="21"/>
      <c r="G21" s="10">
        <v>3.4</v>
      </c>
      <c r="H21" s="8">
        <v>2.3666666666666698</v>
      </c>
      <c r="I21" s="10">
        <v>3.3333333333333299</v>
      </c>
      <c r="J21" s="8">
        <v>2.1333333333333302</v>
      </c>
      <c r="K21" s="10">
        <v>3.4666666666666699</v>
      </c>
      <c r="L21" s="8">
        <v>2.6</v>
      </c>
      <c r="M21" s="3">
        <v>1.25101395752614E-5</v>
      </c>
      <c r="N21" s="3">
        <v>4.78335722070566E-5</v>
      </c>
      <c r="O21" s="3">
        <v>0.44</v>
      </c>
      <c r="P21" s="10">
        <v>20</v>
      </c>
      <c r="Q21" s="8">
        <v>31.43</v>
      </c>
      <c r="R21" s="8">
        <v>11.43</v>
      </c>
      <c r="S21" s="10">
        <v>42.43</v>
      </c>
      <c r="T21" s="8">
        <v>71.3599999999999</v>
      </c>
      <c r="U21" s="8">
        <v>28.9299999999999</v>
      </c>
    </row>
    <row r="22" spans="1:21">
      <c r="A22" s="13">
        <v>25</v>
      </c>
      <c r="B22" s="14">
        <v>55</v>
      </c>
      <c r="C22" s="11" t="s">
        <v>40</v>
      </c>
      <c r="D22" s="1" t="s">
        <v>62</v>
      </c>
      <c r="E22" s="20" t="s">
        <v>41</v>
      </c>
      <c r="F22" s="21" t="s">
        <v>63</v>
      </c>
      <c r="G22" s="10">
        <v>3.4</v>
      </c>
      <c r="H22" s="8">
        <v>2.2666666666666702</v>
      </c>
      <c r="I22" s="10">
        <v>3.3333333333333299</v>
      </c>
      <c r="J22" s="8">
        <v>2.5333333333333301</v>
      </c>
      <c r="K22" s="10">
        <v>3.4666666666666699</v>
      </c>
      <c r="L22" s="8">
        <v>2</v>
      </c>
      <c r="M22" s="3">
        <v>1.0110979620559E-5</v>
      </c>
      <c r="N22" s="3">
        <v>0.17283089672176599</v>
      </c>
      <c r="O22" s="3">
        <v>3.3699999999999999E-5</v>
      </c>
      <c r="P22" s="10">
        <v>20</v>
      </c>
      <c r="Q22" s="8">
        <v>21.67</v>
      </c>
      <c r="R22" s="8">
        <v>1.67</v>
      </c>
      <c r="S22" s="10">
        <v>42.43</v>
      </c>
      <c r="T22" s="8">
        <v>67.269999999999897</v>
      </c>
      <c r="U22" s="8">
        <v>24.839999999999897</v>
      </c>
    </row>
    <row r="23" spans="1:21">
      <c r="A23" s="13">
        <v>30</v>
      </c>
      <c r="B23" s="14">
        <v>49</v>
      </c>
      <c r="C23" s="11" t="s">
        <v>42</v>
      </c>
      <c r="D23" s="1" t="s">
        <v>52</v>
      </c>
      <c r="E23" s="20"/>
      <c r="F23" s="21"/>
      <c r="G23" s="10">
        <v>2.8</v>
      </c>
      <c r="H23" s="8">
        <v>1.93333333333333</v>
      </c>
      <c r="I23" s="10">
        <v>3.2</v>
      </c>
      <c r="J23" s="8">
        <v>1.93333333333333</v>
      </c>
      <c r="K23" s="10">
        <v>2.4</v>
      </c>
      <c r="L23" s="8">
        <v>1.93333333333333</v>
      </c>
      <c r="M23" s="3">
        <v>7.1646452168949704E-4</v>
      </c>
      <c r="N23" s="3">
        <v>1.57481903172441E-5</v>
      </c>
      <c r="O23" s="3">
        <v>1</v>
      </c>
      <c r="P23" s="10">
        <v>33.33</v>
      </c>
      <c r="Q23" s="8">
        <v>39.049999999999997</v>
      </c>
      <c r="R23" s="8">
        <v>5.71</v>
      </c>
      <c r="S23" s="10">
        <v>37.369999999999898</v>
      </c>
      <c r="T23" s="8">
        <v>74.75</v>
      </c>
      <c r="U23" s="8">
        <v>37.380000000000102</v>
      </c>
    </row>
    <row r="24" spans="1:21">
      <c r="A24" s="13">
        <v>31</v>
      </c>
      <c r="B24" s="14">
        <v>66</v>
      </c>
      <c r="C24" s="11" t="s">
        <v>43</v>
      </c>
      <c r="D24" s="1" t="s">
        <v>32</v>
      </c>
      <c r="E24" s="20"/>
      <c r="F24" s="21"/>
      <c r="G24" s="10">
        <v>2.1333333333333302</v>
      </c>
      <c r="H24" s="8">
        <v>1.2</v>
      </c>
      <c r="I24" s="10">
        <v>2.06666666666667</v>
      </c>
      <c r="J24" s="8">
        <v>1.2666666666666699</v>
      </c>
      <c r="K24" s="10">
        <v>2.2000000000000002</v>
      </c>
      <c r="L24" s="8">
        <v>1.13333333333333</v>
      </c>
      <c r="M24" s="3">
        <v>9.5715727910006306E-5</v>
      </c>
      <c r="N24" s="3">
        <v>0.17283089672176799</v>
      </c>
      <c r="O24" s="3">
        <v>4.6078439999999998E-2</v>
      </c>
      <c r="P24" s="10">
        <v>17.5</v>
      </c>
      <c r="Q24" s="8">
        <v>18.329999999999998</v>
      </c>
      <c r="R24" s="8">
        <v>0.83</v>
      </c>
      <c r="S24" s="10">
        <v>18.25</v>
      </c>
      <c r="T24" s="8">
        <v>20.1299999999999</v>
      </c>
      <c r="U24" s="8">
        <v>1.8799999999998995</v>
      </c>
    </row>
    <row r="25" spans="1:21">
      <c r="A25" s="13">
        <v>33</v>
      </c>
      <c r="B25" s="14">
        <v>63</v>
      </c>
      <c r="C25" s="11" t="s">
        <v>44</v>
      </c>
      <c r="D25" s="1" t="s">
        <v>64</v>
      </c>
      <c r="E25" s="20" t="s">
        <v>45</v>
      </c>
      <c r="F25" s="21"/>
      <c r="G25" s="10">
        <v>3.8</v>
      </c>
      <c r="H25" s="8">
        <v>3.0333333333333301</v>
      </c>
      <c r="I25" s="10">
        <v>3.93333333333333</v>
      </c>
      <c r="J25" s="8">
        <v>3.4666666666666699</v>
      </c>
      <c r="K25" s="10">
        <v>3.6666666666666701</v>
      </c>
      <c r="L25" s="8">
        <v>2.6</v>
      </c>
      <c r="M25" s="3">
        <v>1.11861715056533E-2</v>
      </c>
      <c r="N25" s="3">
        <v>0.999209716314862</v>
      </c>
      <c r="O25" s="3">
        <v>4.6078439999999998E-2</v>
      </c>
      <c r="P25" s="10">
        <v>46.67</v>
      </c>
      <c r="Q25" s="8">
        <v>46.67</v>
      </c>
      <c r="R25" s="8">
        <v>0</v>
      </c>
      <c r="S25" s="10">
        <v>52.329999999999899</v>
      </c>
      <c r="T25" s="8">
        <v>56.06</v>
      </c>
      <c r="U25" s="9" t="s">
        <v>30</v>
      </c>
    </row>
    <row r="26" spans="1:21">
      <c r="A26" s="13">
        <v>35</v>
      </c>
      <c r="B26" s="14">
        <v>49</v>
      </c>
      <c r="C26" s="11" t="s">
        <v>46</v>
      </c>
      <c r="D26" s="1" t="s">
        <v>52</v>
      </c>
      <c r="E26" s="20" t="s">
        <v>47</v>
      </c>
      <c r="F26" s="21"/>
      <c r="G26" s="10">
        <v>3.0333333333333301</v>
      </c>
      <c r="H26" s="8">
        <v>1.93333333333333</v>
      </c>
      <c r="I26" s="10">
        <v>3.3333333333333299</v>
      </c>
      <c r="J26" s="8">
        <v>1.93333333333333</v>
      </c>
      <c r="K26" s="10">
        <v>2.7333333333333298</v>
      </c>
      <c r="L26" s="8">
        <v>1.93333333333333</v>
      </c>
      <c r="M26" s="3">
        <v>1.02429559833972E-5</v>
      </c>
      <c r="N26" s="3">
        <v>1.01536230663335E-5</v>
      </c>
      <c r="O26" s="3">
        <v>0.67400000000000004</v>
      </c>
      <c r="P26" s="10">
        <v>16.670000000000002</v>
      </c>
      <c r="Q26" s="8">
        <v>39.049999999999997</v>
      </c>
      <c r="R26" s="8">
        <v>22.38</v>
      </c>
      <c r="S26" s="10">
        <v>50.1</v>
      </c>
      <c r="T26" s="8">
        <v>74.75</v>
      </c>
      <c r="U26" s="9" t="s">
        <v>30</v>
      </c>
    </row>
    <row r="27" spans="1:21">
      <c r="A27" s="13">
        <v>35</v>
      </c>
      <c r="B27" s="14">
        <v>54</v>
      </c>
      <c r="C27" s="11" t="s">
        <v>46</v>
      </c>
      <c r="D27" s="1" t="s">
        <v>65</v>
      </c>
      <c r="E27" s="20" t="s">
        <v>47</v>
      </c>
      <c r="F27" s="21" t="s">
        <v>66</v>
      </c>
      <c r="G27" s="10">
        <v>3.0333333333333301</v>
      </c>
      <c r="H27" s="8">
        <v>2.1666666666666701</v>
      </c>
      <c r="I27" s="10">
        <v>3.3333333333333299</v>
      </c>
      <c r="J27" s="8">
        <v>2.4666666666666699</v>
      </c>
      <c r="K27" s="10">
        <v>2.7333333333333298</v>
      </c>
      <c r="L27" s="8">
        <v>1.86666666666667</v>
      </c>
      <c r="M27" s="3">
        <v>7.1646452168949704E-4</v>
      </c>
      <c r="N27" s="3">
        <v>6.2963154297882504E-2</v>
      </c>
      <c r="O27" s="3">
        <v>0.43962236199999999</v>
      </c>
      <c r="P27" s="10">
        <v>16.670000000000002</v>
      </c>
      <c r="Q27" s="8">
        <v>17.78</v>
      </c>
      <c r="R27" s="8">
        <v>1.1100000000000001</v>
      </c>
      <c r="S27" s="10">
        <v>50.1</v>
      </c>
      <c r="T27" s="8">
        <v>54.759999999999899</v>
      </c>
      <c r="U27" s="9" t="s">
        <v>30</v>
      </c>
    </row>
    <row r="28" spans="1:21">
      <c r="A28" s="13">
        <v>35</v>
      </c>
      <c r="B28" s="14">
        <v>55</v>
      </c>
      <c r="C28" s="11" t="s">
        <v>46</v>
      </c>
      <c r="D28" s="1" t="s">
        <v>62</v>
      </c>
      <c r="E28" s="20" t="s">
        <v>47</v>
      </c>
      <c r="F28" s="21" t="s">
        <v>63</v>
      </c>
      <c r="G28" s="10">
        <v>3.0333333333333301</v>
      </c>
      <c r="H28" s="8">
        <v>2.2666666666666702</v>
      </c>
      <c r="I28" s="10">
        <v>3.3333333333333299</v>
      </c>
      <c r="J28" s="8">
        <v>2.5333333333333301</v>
      </c>
      <c r="K28" s="10">
        <v>2.7333333333333298</v>
      </c>
      <c r="L28" s="8">
        <v>2</v>
      </c>
      <c r="M28" s="3">
        <v>1.11861715056533E-2</v>
      </c>
      <c r="N28" s="3">
        <v>0.17283089672176599</v>
      </c>
      <c r="O28" s="3">
        <v>0.86749630899999997</v>
      </c>
      <c r="P28" s="10">
        <v>16.670000000000002</v>
      </c>
      <c r="Q28" s="8">
        <v>21.67</v>
      </c>
      <c r="R28" s="8">
        <v>5</v>
      </c>
      <c r="S28" s="10">
        <v>50.1</v>
      </c>
      <c r="T28" s="8">
        <v>67.269999999999897</v>
      </c>
      <c r="U28" s="9" t="s">
        <v>30</v>
      </c>
    </row>
    <row r="29" spans="1:21">
      <c r="A29" s="13">
        <v>40</v>
      </c>
      <c r="B29" s="14">
        <v>49</v>
      </c>
      <c r="C29" s="11" t="s">
        <v>48</v>
      </c>
      <c r="D29" s="1" t="s">
        <v>52</v>
      </c>
      <c r="E29" s="20" t="s">
        <v>49</v>
      </c>
      <c r="F29" s="21"/>
      <c r="G29" s="10">
        <v>3.1333333333333302</v>
      </c>
      <c r="H29" s="8">
        <v>1.93333333333333</v>
      </c>
      <c r="I29" s="10">
        <v>3.2666666666666702</v>
      </c>
      <c r="J29" s="8">
        <v>1.93333333333333</v>
      </c>
      <c r="K29" s="10">
        <v>3</v>
      </c>
      <c r="L29" s="8">
        <v>1.93333333333333</v>
      </c>
      <c r="M29" s="3">
        <v>1.00700001427478E-5</v>
      </c>
      <c r="N29" s="3">
        <v>1.0815733947566701E-5</v>
      </c>
      <c r="O29" s="3">
        <v>4.6100000000000002E-2</v>
      </c>
      <c r="P29" s="10">
        <v>30.56</v>
      </c>
      <c r="Q29" s="8">
        <v>39.049999999999997</v>
      </c>
      <c r="R29" s="8">
        <v>8.49</v>
      </c>
      <c r="S29" s="10">
        <v>34.119999999999898</v>
      </c>
      <c r="T29" s="8">
        <v>74.75</v>
      </c>
      <c r="U29" s="9">
        <v>40.630000000000102</v>
      </c>
    </row>
    <row r="30" spans="1:21">
      <c r="A30" s="13">
        <v>40</v>
      </c>
      <c r="B30" s="14">
        <v>51</v>
      </c>
      <c r="C30" s="11" t="s">
        <v>48</v>
      </c>
      <c r="D30" s="1" t="s">
        <v>53</v>
      </c>
      <c r="E30" s="20" t="s">
        <v>49</v>
      </c>
      <c r="F30" s="21"/>
      <c r="G30" s="10">
        <v>3.1333333333333302</v>
      </c>
      <c r="H30" s="8">
        <v>2.3666666666666698</v>
      </c>
      <c r="I30" s="10">
        <v>3.2666666666666702</v>
      </c>
      <c r="J30" s="8">
        <v>2.1333333333333302</v>
      </c>
      <c r="K30" s="10">
        <v>3</v>
      </c>
      <c r="L30" s="8">
        <v>2.6</v>
      </c>
      <c r="M30" s="3">
        <v>1.11861715056532E-2</v>
      </c>
      <c r="N30" s="3">
        <v>2.2999691635761099E-4</v>
      </c>
      <c r="O30" s="3">
        <v>0.99999999399999995</v>
      </c>
      <c r="P30" s="10">
        <v>30.56</v>
      </c>
      <c r="Q30" s="8">
        <v>31.43</v>
      </c>
      <c r="R30" s="8">
        <v>0.87</v>
      </c>
      <c r="S30" s="10">
        <v>34.119999999999898</v>
      </c>
      <c r="T30" s="8">
        <v>71.3599999999999</v>
      </c>
      <c r="U30" s="9">
        <v>37.24</v>
      </c>
    </row>
    <row r="31" spans="1:21">
      <c r="A31" s="13">
        <v>40</v>
      </c>
      <c r="B31" s="14">
        <v>58</v>
      </c>
      <c r="C31" s="11" t="s">
        <v>48</v>
      </c>
      <c r="D31" s="1" t="s">
        <v>57</v>
      </c>
      <c r="E31" s="20" t="s">
        <v>49</v>
      </c>
      <c r="F31" s="21"/>
      <c r="G31" s="10">
        <v>3.1333333333333302</v>
      </c>
      <c r="H31" s="8">
        <v>1.9666666666666699</v>
      </c>
      <c r="I31" s="10">
        <v>3.2666666666666702</v>
      </c>
      <c r="J31" s="8">
        <v>2.1333333333333302</v>
      </c>
      <c r="K31" s="10">
        <v>3</v>
      </c>
      <c r="L31" s="8">
        <v>1.8</v>
      </c>
      <c r="M31" s="3">
        <v>1.0077847483303E-5</v>
      </c>
      <c r="N31" s="3">
        <v>2.2999691635761099E-4</v>
      </c>
      <c r="O31" s="3">
        <v>5.4488879999999998E-3</v>
      </c>
      <c r="P31" s="10">
        <v>30.56</v>
      </c>
      <c r="Q31" s="8">
        <v>37.78</v>
      </c>
      <c r="R31" s="8">
        <v>7.22</v>
      </c>
      <c r="S31" s="10">
        <v>34.119999999999898</v>
      </c>
      <c r="T31" s="8">
        <v>35.68</v>
      </c>
      <c r="U31" s="9">
        <v>1.5600000000001017</v>
      </c>
    </row>
    <row r="32" spans="1:21">
      <c r="A32" s="13">
        <v>41</v>
      </c>
      <c r="B32" s="14">
        <v>49</v>
      </c>
      <c r="C32" s="11" t="s">
        <v>50</v>
      </c>
      <c r="D32" s="1" t="s">
        <v>52</v>
      </c>
      <c r="E32" s="20" t="s">
        <v>51</v>
      </c>
      <c r="F32" s="21"/>
      <c r="G32" s="10">
        <v>2.8</v>
      </c>
      <c r="H32" s="8">
        <v>1.93333333333333</v>
      </c>
      <c r="I32" s="10">
        <v>2.93333333333333</v>
      </c>
      <c r="J32" s="8">
        <v>1.93333333333333</v>
      </c>
      <c r="K32" s="10">
        <v>2.6666666666666701</v>
      </c>
      <c r="L32" s="8">
        <v>1.93333333333333</v>
      </c>
      <c r="M32" s="3">
        <v>7.1646452168949704E-4</v>
      </c>
      <c r="N32" s="3">
        <v>4.9763781084676299E-3</v>
      </c>
      <c r="O32" s="3">
        <v>0.86749630899999997</v>
      </c>
      <c r="P32" s="10">
        <v>13.33</v>
      </c>
      <c r="Q32" s="8">
        <v>39.049999999999997</v>
      </c>
      <c r="R32" s="8">
        <v>25.71</v>
      </c>
      <c r="S32" s="10">
        <v>53.219999999999899</v>
      </c>
      <c r="T32" s="8">
        <v>74.75</v>
      </c>
      <c r="U32" s="9" t="s">
        <v>30</v>
      </c>
    </row>
    <row r="33" spans="1:21">
      <c r="A33" s="14">
        <v>49</v>
      </c>
      <c r="B33" s="13">
        <v>60</v>
      </c>
      <c r="C33" s="1" t="s">
        <v>52</v>
      </c>
      <c r="D33" s="11" t="s">
        <v>67</v>
      </c>
      <c r="E33" s="21"/>
      <c r="F33" s="20"/>
      <c r="G33" s="8">
        <v>1.93333333333333</v>
      </c>
      <c r="H33" s="10">
        <v>3.2</v>
      </c>
      <c r="I33" s="8">
        <v>1.93333333333333</v>
      </c>
      <c r="J33" s="10">
        <v>3.2666666666666702</v>
      </c>
      <c r="K33" s="8">
        <v>1.93333333333333</v>
      </c>
      <c r="L33" s="10">
        <v>3.1333333333333302</v>
      </c>
      <c r="M33" s="3">
        <v>1.00678824979106E-5</v>
      </c>
      <c r="N33" s="3">
        <v>1.0815733947566701E-5</v>
      </c>
      <c r="O33" s="3">
        <v>5.45E-3</v>
      </c>
      <c r="P33" s="8">
        <v>39.049999999999997</v>
      </c>
      <c r="Q33" s="10">
        <v>30</v>
      </c>
      <c r="R33" s="8">
        <v>9.0500000000000007</v>
      </c>
      <c r="S33" s="8">
        <v>74.75</v>
      </c>
      <c r="T33" s="10">
        <v>68.25</v>
      </c>
      <c r="U33" s="9" t="s">
        <v>30</v>
      </c>
    </row>
    <row r="34" spans="1:21">
      <c r="A34" s="14">
        <v>51</v>
      </c>
      <c r="B34" s="13">
        <v>60</v>
      </c>
      <c r="C34" s="1" t="s">
        <v>53</v>
      </c>
      <c r="D34" s="11" t="s">
        <v>67</v>
      </c>
      <c r="E34" s="21"/>
      <c r="F34" s="20"/>
      <c r="G34" s="8">
        <v>2.3666666666666698</v>
      </c>
      <c r="H34" s="10">
        <v>3.2</v>
      </c>
      <c r="I34" s="8">
        <v>2.1333333333333302</v>
      </c>
      <c r="J34" s="10">
        <v>3.2666666666666702</v>
      </c>
      <c r="K34" s="8">
        <v>2.6</v>
      </c>
      <c r="L34" s="10">
        <v>3.1333333333333302</v>
      </c>
      <c r="M34" s="3">
        <v>1.8826070492841099E-3</v>
      </c>
      <c r="N34" s="3">
        <v>2.2999691635761099E-4</v>
      </c>
      <c r="O34" s="3">
        <v>0.99981849899999997</v>
      </c>
      <c r="P34" s="8">
        <v>31.43</v>
      </c>
      <c r="Q34" s="10">
        <v>30</v>
      </c>
      <c r="R34" s="8">
        <v>1.43</v>
      </c>
      <c r="S34" s="8">
        <v>71.3599999999999</v>
      </c>
      <c r="T34" s="10">
        <v>68.25</v>
      </c>
      <c r="U34" s="9" t="s">
        <v>30</v>
      </c>
    </row>
    <row r="35" spans="1:21">
      <c r="A35" s="28" t="s">
        <v>170</v>
      </c>
    </row>
  </sheetData>
  <mergeCells count="24">
    <mergeCell ref="M3:M4"/>
    <mergeCell ref="U3:U4"/>
    <mergeCell ref="O3:O4"/>
    <mergeCell ref="P3:P4"/>
    <mergeCell ref="Q3:Q4"/>
    <mergeCell ref="R3:R4"/>
    <mergeCell ref="S3:S4"/>
    <mergeCell ref="T3:T4"/>
    <mergeCell ref="A1:U1"/>
    <mergeCell ref="S2:U2"/>
    <mergeCell ref="A3:A4"/>
    <mergeCell ref="B3:B4"/>
    <mergeCell ref="C3:C4"/>
    <mergeCell ref="D3:D4"/>
    <mergeCell ref="E3:E4"/>
    <mergeCell ref="N3:N4"/>
    <mergeCell ref="A2:F2"/>
    <mergeCell ref="G2:L2"/>
    <mergeCell ref="M2:O2"/>
    <mergeCell ref="P2:R2"/>
    <mergeCell ref="F3:F4"/>
    <mergeCell ref="G3:H3"/>
    <mergeCell ref="I3:J3"/>
    <mergeCell ref="K3:L3"/>
  </mergeCells>
  <phoneticPr fontId="1" type="noConversion"/>
  <pageMargins left="0.75" right="0.75" top="1" bottom="1" header="0.5" footer="0.5"/>
  <pageSetup scale="58" orientation="landscape" horizontalDpi="4294967292" verticalDpi="4294967292"/>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V110"/>
  <sheetViews>
    <sheetView topLeftCell="A16" workbookViewId="0">
      <selection activeCell="V8" sqref="V8"/>
    </sheetView>
  </sheetViews>
  <sheetFormatPr baseColWidth="10" defaultColWidth="10.6640625" defaultRowHeight="15" x14ac:dyDescent="0"/>
  <cols>
    <col min="1" max="2" width="6" customWidth="1"/>
    <col min="3" max="4" width="8.83203125" customWidth="1"/>
    <col min="5" max="6" width="17.1640625" customWidth="1"/>
    <col min="7" max="12" width="7.83203125" customWidth="1"/>
    <col min="13" max="15" width="9.5" customWidth="1"/>
    <col min="16" max="18" width="9.6640625" customWidth="1"/>
    <col min="21" max="21" width="9.6640625" customWidth="1"/>
  </cols>
  <sheetData>
    <row r="1" spans="1:22" ht="31" customHeight="1">
      <c r="A1" s="29" t="s">
        <v>175</v>
      </c>
      <c r="B1" s="29"/>
      <c r="C1" s="29"/>
      <c r="D1" s="29"/>
      <c r="E1" s="29"/>
      <c r="F1" s="29"/>
      <c r="G1" s="29"/>
      <c r="H1" s="29"/>
      <c r="I1" s="29"/>
      <c r="J1" s="29"/>
      <c r="K1" s="29"/>
      <c r="L1" s="29"/>
      <c r="M1" s="29"/>
      <c r="N1" s="29"/>
      <c r="O1" s="29"/>
      <c r="P1" s="29"/>
      <c r="Q1" s="29"/>
      <c r="R1" s="29"/>
      <c r="S1" s="29"/>
      <c r="T1" s="29"/>
      <c r="U1" s="29"/>
    </row>
    <row r="2" spans="1:22">
      <c r="A2" s="49" t="s">
        <v>0</v>
      </c>
      <c r="B2" s="50"/>
      <c r="C2" s="50"/>
      <c r="D2" s="50"/>
      <c r="E2" s="50"/>
      <c r="F2" s="51"/>
      <c r="G2" s="52" t="s">
        <v>1</v>
      </c>
      <c r="H2" s="52"/>
      <c r="I2" s="52"/>
      <c r="J2" s="52"/>
      <c r="K2" s="52"/>
      <c r="L2" s="52"/>
      <c r="M2" s="52" t="s">
        <v>2</v>
      </c>
      <c r="N2" s="52"/>
      <c r="O2" s="52"/>
      <c r="P2" s="52" t="s">
        <v>3</v>
      </c>
      <c r="Q2" s="52"/>
      <c r="R2" s="52"/>
      <c r="S2" s="46" t="s">
        <v>4</v>
      </c>
      <c r="T2" s="47"/>
      <c r="U2" s="48"/>
    </row>
    <row r="3" spans="1:22" ht="15" customHeight="1">
      <c r="A3" s="44" t="s">
        <v>11</v>
      </c>
      <c r="B3" s="44" t="s">
        <v>12</v>
      </c>
      <c r="C3" s="37" t="s">
        <v>13</v>
      </c>
      <c r="D3" s="37" t="s">
        <v>14</v>
      </c>
      <c r="E3" s="37" t="s">
        <v>15</v>
      </c>
      <c r="F3" s="37" t="s">
        <v>16</v>
      </c>
      <c r="G3" s="32" t="s">
        <v>5</v>
      </c>
      <c r="H3" s="32"/>
      <c r="I3" s="32" t="s">
        <v>6</v>
      </c>
      <c r="J3" s="32"/>
      <c r="K3" s="33" t="s">
        <v>8</v>
      </c>
      <c r="L3" s="33"/>
      <c r="M3" s="34" t="s">
        <v>5</v>
      </c>
      <c r="N3" s="35" t="s">
        <v>7</v>
      </c>
      <c r="O3" s="37" t="s">
        <v>8</v>
      </c>
      <c r="P3" s="37" t="s">
        <v>27</v>
      </c>
      <c r="Q3" s="37" t="s">
        <v>28</v>
      </c>
      <c r="R3" s="44" t="s">
        <v>29</v>
      </c>
      <c r="S3" s="37" t="s">
        <v>9</v>
      </c>
      <c r="T3" s="37" t="s">
        <v>10</v>
      </c>
      <c r="U3" s="44" t="s">
        <v>29</v>
      </c>
    </row>
    <row r="4" spans="1:22" ht="14" customHeight="1">
      <c r="A4" s="45"/>
      <c r="B4" s="45"/>
      <c r="C4" s="37"/>
      <c r="D4" s="37"/>
      <c r="E4" s="37"/>
      <c r="F4" s="37"/>
      <c r="G4" s="6" t="s">
        <v>25</v>
      </c>
      <c r="H4" s="6" t="s">
        <v>26</v>
      </c>
      <c r="I4" s="6" t="s">
        <v>25</v>
      </c>
      <c r="J4" s="6" t="s">
        <v>26</v>
      </c>
      <c r="K4" s="6" t="s">
        <v>25</v>
      </c>
      <c r="L4" s="6" t="s">
        <v>26</v>
      </c>
      <c r="M4" s="34"/>
      <c r="N4" s="36"/>
      <c r="O4" s="37"/>
      <c r="P4" s="37"/>
      <c r="Q4" s="37"/>
      <c r="R4" s="45"/>
      <c r="S4" s="37"/>
      <c r="T4" s="37"/>
      <c r="U4" s="45"/>
    </row>
    <row r="5" spans="1:22">
      <c r="A5" s="18">
        <v>17</v>
      </c>
      <c r="B5" s="19">
        <v>34</v>
      </c>
      <c r="C5" s="16" t="s">
        <v>68</v>
      </c>
      <c r="D5" s="17" t="s">
        <v>69</v>
      </c>
      <c r="E5" s="21"/>
      <c r="F5" s="19" t="s">
        <v>156</v>
      </c>
      <c r="G5" s="8">
        <v>1.3333333333333299</v>
      </c>
      <c r="H5" s="10">
        <v>2.2999999999999998</v>
      </c>
      <c r="I5" s="8">
        <v>1.2</v>
      </c>
      <c r="J5" s="10">
        <v>2</v>
      </c>
      <c r="K5" s="8">
        <v>1.4666666666666699</v>
      </c>
      <c r="L5" s="10">
        <v>2.6</v>
      </c>
      <c r="M5" s="3">
        <v>1.5676441311247599E-3</v>
      </c>
      <c r="N5" s="3">
        <v>0.88723009779233197</v>
      </c>
      <c r="O5" s="3">
        <v>0.141840877</v>
      </c>
      <c r="P5" s="8">
        <v>17.87</v>
      </c>
      <c r="Q5" s="10">
        <v>15</v>
      </c>
      <c r="R5" s="7">
        <v>2.87</v>
      </c>
      <c r="S5" s="8">
        <v>13.77</v>
      </c>
      <c r="T5" s="10">
        <v>12.92</v>
      </c>
      <c r="U5" s="8">
        <f t="shared" ref="U5:U36" si="0">ABS(N5-O5)</f>
        <v>0.74538922079233194</v>
      </c>
      <c r="V5" s="25"/>
    </row>
    <row r="6" spans="1:22">
      <c r="A6" s="18">
        <v>28</v>
      </c>
      <c r="B6" s="19">
        <v>34</v>
      </c>
      <c r="C6" s="16" t="s">
        <v>72</v>
      </c>
      <c r="D6" s="17" t="s">
        <v>69</v>
      </c>
      <c r="E6" s="21"/>
      <c r="F6" s="19" t="s">
        <v>156</v>
      </c>
      <c r="G6" s="8">
        <v>1.36666666666667</v>
      </c>
      <c r="H6" s="10">
        <v>2.2999999999999998</v>
      </c>
      <c r="I6" s="8">
        <v>1.2</v>
      </c>
      <c r="J6" s="10">
        <v>2</v>
      </c>
      <c r="K6" s="8">
        <v>1.5333333333333301</v>
      </c>
      <c r="L6" s="10">
        <v>2.6</v>
      </c>
      <c r="M6" s="3">
        <v>4.0351067522509396E-3</v>
      </c>
      <c r="N6" s="3">
        <v>0.88723009779233197</v>
      </c>
      <c r="O6" s="3">
        <v>0.30999542499999999</v>
      </c>
      <c r="P6" s="8">
        <v>18.57</v>
      </c>
      <c r="Q6" s="10">
        <v>15</v>
      </c>
      <c r="R6" s="8">
        <v>3.57</v>
      </c>
      <c r="S6" s="8">
        <v>14.5299999999999</v>
      </c>
      <c r="T6" s="10">
        <v>12.92</v>
      </c>
      <c r="U6" s="8">
        <f t="shared" si="0"/>
        <v>0.57723467279233198</v>
      </c>
      <c r="V6" s="26"/>
    </row>
    <row r="7" spans="1:22">
      <c r="A7" s="19">
        <v>34</v>
      </c>
      <c r="B7" s="18">
        <v>37</v>
      </c>
      <c r="C7" s="17" t="s">
        <v>69</v>
      </c>
      <c r="D7" s="16" t="s">
        <v>73</v>
      </c>
      <c r="E7" s="19" t="s">
        <v>156</v>
      </c>
      <c r="F7" s="23" t="s">
        <v>168</v>
      </c>
      <c r="G7" s="10">
        <v>2.2999999999999998</v>
      </c>
      <c r="H7" s="8">
        <v>1.43333333333333</v>
      </c>
      <c r="I7" s="10">
        <v>2</v>
      </c>
      <c r="J7" s="8">
        <v>1.3333333333333299</v>
      </c>
      <c r="K7" s="10">
        <v>2.6</v>
      </c>
      <c r="L7" s="8">
        <v>1.5333333333333301</v>
      </c>
      <c r="M7" s="3">
        <v>2.2961114856215901E-2</v>
      </c>
      <c r="N7" s="3">
        <v>0.99955975858591095</v>
      </c>
      <c r="O7" s="3">
        <v>0.30999542499999999</v>
      </c>
      <c r="P7" s="10">
        <v>15</v>
      </c>
      <c r="Q7" s="8">
        <v>18.57</v>
      </c>
      <c r="R7" s="8">
        <v>3.57</v>
      </c>
      <c r="S7" s="10">
        <v>12.92</v>
      </c>
      <c r="T7" s="8">
        <v>13.59</v>
      </c>
      <c r="U7" s="24">
        <f t="shared" si="0"/>
        <v>0.68956433358591096</v>
      </c>
      <c r="V7" s="26"/>
    </row>
    <row r="8" spans="1:22">
      <c r="A8" s="19">
        <v>34</v>
      </c>
      <c r="B8" s="18">
        <v>46</v>
      </c>
      <c r="C8" s="17" t="s">
        <v>69</v>
      </c>
      <c r="D8" s="16" t="s">
        <v>74</v>
      </c>
      <c r="E8" s="19" t="s">
        <v>156</v>
      </c>
      <c r="F8" s="21"/>
      <c r="G8" s="10">
        <v>2.2999999999999998</v>
      </c>
      <c r="H8" s="8">
        <v>1.4</v>
      </c>
      <c r="I8" s="10">
        <v>2</v>
      </c>
      <c r="J8" s="8">
        <v>1.13333333333333</v>
      </c>
      <c r="K8" s="10">
        <v>2.6</v>
      </c>
      <c r="L8" s="8">
        <v>1.6666666666666701</v>
      </c>
      <c r="M8" s="3">
        <v>9.8986193766246195E-3</v>
      </c>
      <c r="N8" s="3">
        <v>0.64124722310169302</v>
      </c>
      <c r="O8" s="3">
        <v>0.80581418199999999</v>
      </c>
      <c r="P8" s="10">
        <v>15</v>
      </c>
      <c r="Q8" s="8">
        <v>16.670000000000002</v>
      </c>
      <c r="R8" s="8">
        <v>1.67</v>
      </c>
      <c r="S8" s="10">
        <v>12.92</v>
      </c>
      <c r="T8" s="8">
        <v>13.08</v>
      </c>
      <c r="U8" s="24">
        <f t="shared" si="0"/>
        <v>0.16456695889830697</v>
      </c>
      <c r="V8" s="26"/>
    </row>
    <row r="9" spans="1:22">
      <c r="A9" s="18">
        <v>17</v>
      </c>
      <c r="B9" s="19">
        <v>49</v>
      </c>
      <c r="C9" s="16" t="s">
        <v>68</v>
      </c>
      <c r="D9" s="17" t="s">
        <v>70</v>
      </c>
      <c r="E9" s="21"/>
      <c r="F9" s="20"/>
      <c r="G9" s="8">
        <v>1.3333333333333299</v>
      </c>
      <c r="H9" s="10">
        <v>2.3666666666666698</v>
      </c>
      <c r="I9" s="8">
        <v>1.2</v>
      </c>
      <c r="J9" s="10">
        <v>2.1333333333333302</v>
      </c>
      <c r="K9" s="8">
        <v>1.4666666666666699</v>
      </c>
      <c r="L9" s="10">
        <v>2.6</v>
      </c>
      <c r="M9" s="3">
        <v>2.2989784407712001E-4</v>
      </c>
      <c r="N9" s="3">
        <v>0.351257237182584</v>
      </c>
      <c r="O9" s="3">
        <v>0.141840877</v>
      </c>
      <c r="P9" s="8">
        <v>17.87</v>
      </c>
      <c r="Q9" s="10">
        <v>14.17</v>
      </c>
      <c r="R9" s="7">
        <v>3.7</v>
      </c>
      <c r="S9" s="8">
        <v>13.77</v>
      </c>
      <c r="T9" s="10">
        <v>12.31</v>
      </c>
      <c r="U9" s="24">
        <f t="shared" si="0"/>
        <v>0.209416360182584</v>
      </c>
      <c r="V9" s="25"/>
    </row>
    <row r="10" spans="1:22">
      <c r="A10" s="18">
        <v>28</v>
      </c>
      <c r="B10" s="19">
        <v>49</v>
      </c>
      <c r="C10" s="16" t="s">
        <v>72</v>
      </c>
      <c r="D10" s="17" t="s">
        <v>70</v>
      </c>
      <c r="E10" s="21"/>
      <c r="F10" s="20"/>
      <c r="G10" s="8">
        <v>1.36666666666667</v>
      </c>
      <c r="H10" s="10">
        <v>2.3666666666666698</v>
      </c>
      <c r="I10" s="8">
        <v>1.2</v>
      </c>
      <c r="J10" s="10">
        <v>2.1333333333333302</v>
      </c>
      <c r="K10" s="8">
        <v>1.5333333333333301</v>
      </c>
      <c r="L10" s="10">
        <v>2.6</v>
      </c>
      <c r="M10" s="3">
        <v>5.9218329874699603E-4</v>
      </c>
      <c r="N10" s="3">
        <v>0.351257237182584</v>
      </c>
      <c r="O10" s="3">
        <v>0.30999542499999999</v>
      </c>
      <c r="P10" s="8">
        <v>18.57</v>
      </c>
      <c r="Q10" s="10">
        <v>14.17</v>
      </c>
      <c r="R10" s="8">
        <v>4.4000000000000004</v>
      </c>
      <c r="S10" s="8">
        <v>14.5299999999999</v>
      </c>
      <c r="T10" s="10">
        <v>12.31</v>
      </c>
      <c r="U10" s="24">
        <f t="shared" si="0"/>
        <v>4.1261812182584012E-2</v>
      </c>
      <c r="V10" s="25"/>
    </row>
    <row r="11" spans="1:22">
      <c r="A11" s="18">
        <v>37</v>
      </c>
      <c r="B11" s="19">
        <v>49</v>
      </c>
      <c r="C11" s="16" t="s">
        <v>73</v>
      </c>
      <c r="D11" s="17" t="s">
        <v>70</v>
      </c>
      <c r="E11" s="23" t="s">
        <v>168</v>
      </c>
      <c r="F11" s="20"/>
      <c r="G11" s="8">
        <v>1.43333333333333</v>
      </c>
      <c r="H11" s="10">
        <v>2.3666666666666698</v>
      </c>
      <c r="I11" s="8">
        <v>1.3333333333333299</v>
      </c>
      <c r="J11" s="10">
        <v>2.1333333333333302</v>
      </c>
      <c r="K11" s="8">
        <v>1.5333333333333301</v>
      </c>
      <c r="L11" s="10">
        <v>2.6</v>
      </c>
      <c r="M11" s="3">
        <v>4.0351067522509396E-3</v>
      </c>
      <c r="N11" s="3">
        <v>0.88723009779232997</v>
      </c>
      <c r="O11" s="3">
        <v>0.30999542499999999</v>
      </c>
      <c r="P11" s="8">
        <v>18.57</v>
      </c>
      <c r="Q11" s="10">
        <v>14.17</v>
      </c>
      <c r="R11" s="8">
        <v>4.4000000000000004</v>
      </c>
      <c r="S11" s="8">
        <v>13.59</v>
      </c>
      <c r="T11" s="10">
        <v>12.31</v>
      </c>
      <c r="U11" s="24">
        <f t="shared" si="0"/>
        <v>0.57723467279232998</v>
      </c>
      <c r="V11" s="25"/>
    </row>
    <row r="12" spans="1:22">
      <c r="A12" s="18">
        <v>46</v>
      </c>
      <c r="B12" s="19">
        <v>49</v>
      </c>
      <c r="C12" s="16" t="s">
        <v>74</v>
      </c>
      <c r="D12" s="17" t="s">
        <v>70</v>
      </c>
      <c r="E12" s="21"/>
      <c r="F12" s="20"/>
      <c r="G12" s="8">
        <v>1.4</v>
      </c>
      <c r="H12" s="10">
        <v>2.3666666666666698</v>
      </c>
      <c r="I12" s="8">
        <v>1.13333333333333</v>
      </c>
      <c r="J12" s="10">
        <v>2.1333333333333302</v>
      </c>
      <c r="K12" s="8">
        <v>1.6666666666666701</v>
      </c>
      <c r="L12" s="10">
        <v>2.6</v>
      </c>
      <c r="M12" s="3">
        <v>1.5676441311247599E-3</v>
      </c>
      <c r="N12" s="3">
        <v>0.14895920324053599</v>
      </c>
      <c r="O12" s="3">
        <v>0.80581418199999999</v>
      </c>
      <c r="P12" s="8">
        <v>16.670000000000002</v>
      </c>
      <c r="Q12" s="10">
        <v>14.17</v>
      </c>
      <c r="R12" s="8">
        <v>2.5</v>
      </c>
      <c r="S12" s="8">
        <v>13.08</v>
      </c>
      <c r="T12" s="10">
        <v>12.31</v>
      </c>
      <c r="U12" s="24">
        <f t="shared" si="0"/>
        <v>0.65685497875946397</v>
      </c>
      <c r="V12" s="25"/>
    </row>
    <row r="13" spans="1:22">
      <c r="A13" s="19">
        <v>49</v>
      </c>
      <c r="B13" s="18">
        <v>50</v>
      </c>
      <c r="C13" s="17" t="s">
        <v>70</v>
      </c>
      <c r="D13" s="16" t="s">
        <v>75</v>
      </c>
      <c r="E13" s="20"/>
      <c r="F13" s="21"/>
      <c r="G13" s="10">
        <v>2.3666666666666698</v>
      </c>
      <c r="H13" s="8">
        <v>1.2333333333333301</v>
      </c>
      <c r="I13" s="10">
        <v>2.1333333333333302</v>
      </c>
      <c r="J13" s="8">
        <v>1.2</v>
      </c>
      <c r="K13" s="10">
        <v>2.6</v>
      </c>
      <c r="L13" s="8">
        <v>1.2666666666666699</v>
      </c>
      <c r="M13" s="3">
        <v>4.8339700879584898E-5</v>
      </c>
      <c r="N13" s="3">
        <v>0.351257237182584</v>
      </c>
      <c r="O13" s="3">
        <v>5.6419549999999997E-3</v>
      </c>
      <c r="P13" s="10">
        <v>14.17</v>
      </c>
      <c r="Q13" s="8">
        <v>17.78</v>
      </c>
      <c r="R13" s="8">
        <v>3.61</v>
      </c>
      <c r="S13" s="10">
        <v>12.31</v>
      </c>
      <c r="T13" s="8">
        <v>12.6099999999999</v>
      </c>
      <c r="U13" s="24">
        <f t="shared" si="0"/>
        <v>0.34561528218258403</v>
      </c>
      <c r="V13" s="26"/>
    </row>
    <row r="14" spans="1:22">
      <c r="A14" s="18">
        <v>58</v>
      </c>
      <c r="B14" s="19">
        <v>59</v>
      </c>
      <c r="C14" s="16" t="s">
        <v>79</v>
      </c>
      <c r="D14" s="17" t="s">
        <v>80</v>
      </c>
      <c r="E14" s="21"/>
      <c r="F14" s="11" t="s">
        <v>138</v>
      </c>
      <c r="G14" s="8">
        <v>1.7</v>
      </c>
      <c r="H14" s="10">
        <v>2.6666666666666701</v>
      </c>
      <c r="I14" s="8">
        <v>1.6666666666666701</v>
      </c>
      <c r="J14" s="10">
        <v>2.1333333333333302</v>
      </c>
      <c r="K14" s="8">
        <v>1.7333333333333301</v>
      </c>
      <c r="L14" s="10">
        <v>3.2</v>
      </c>
      <c r="M14" s="3">
        <v>1.5676441311247599E-3</v>
      </c>
      <c r="N14" s="3">
        <v>0.999999999999999</v>
      </c>
      <c r="O14" s="3">
        <v>4.0354099999999999E-4</v>
      </c>
      <c r="P14" s="8">
        <v>7.3</v>
      </c>
      <c r="Q14" s="10">
        <v>6.67</v>
      </c>
      <c r="R14" s="8">
        <v>0.63</v>
      </c>
      <c r="S14" s="8">
        <v>16.6099999999999</v>
      </c>
      <c r="T14" s="10">
        <v>16.260000000000002</v>
      </c>
      <c r="U14" s="24">
        <f t="shared" si="0"/>
        <v>0.99959645899999905</v>
      </c>
      <c r="V14" s="26"/>
    </row>
    <row r="15" spans="1:22">
      <c r="A15" s="18">
        <v>70</v>
      </c>
      <c r="B15" s="19">
        <v>82</v>
      </c>
      <c r="C15" s="16" t="s">
        <v>92</v>
      </c>
      <c r="D15" s="17" t="s">
        <v>93</v>
      </c>
      <c r="E15" s="23"/>
      <c r="F15" s="20"/>
      <c r="G15" s="8">
        <v>1.86666666666667</v>
      </c>
      <c r="H15" s="10">
        <v>2.8333333333333299</v>
      </c>
      <c r="I15" s="8">
        <v>1.8</v>
      </c>
      <c r="J15" s="10">
        <v>3.06666666666667</v>
      </c>
      <c r="K15" s="8">
        <v>1.93333333333333</v>
      </c>
      <c r="L15" s="10">
        <v>2.6</v>
      </c>
      <c r="M15" s="3">
        <v>1.5676441311247599E-3</v>
      </c>
      <c r="N15" s="3">
        <v>8.3113400203305198E-4</v>
      </c>
      <c r="O15" s="3">
        <v>0.99999937500000002</v>
      </c>
      <c r="P15" s="8">
        <v>6.89</v>
      </c>
      <c r="Q15" s="10">
        <v>2.29</v>
      </c>
      <c r="R15" s="8">
        <v>4.5999999999999996</v>
      </c>
      <c r="S15" s="8">
        <v>25.27</v>
      </c>
      <c r="T15" s="10">
        <v>25.19</v>
      </c>
      <c r="U15" s="24">
        <f t="shared" si="0"/>
        <v>0.99916824099796697</v>
      </c>
      <c r="V15" s="25"/>
    </row>
    <row r="16" spans="1:22">
      <c r="A16" s="18">
        <v>81</v>
      </c>
      <c r="B16" s="19">
        <v>82</v>
      </c>
      <c r="C16" s="16" t="s">
        <v>101</v>
      </c>
      <c r="D16" s="17" t="s">
        <v>93</v>
      </c>
      <c r="E16" s="21"/>
      <c r="F16" s="20"/>
      <c r="G16" s="8">
        <v>1.8333333333333299</v>
      </c>
      <c r="H16" s="10">
        <v>2.8333333333333299</v>
      </c>
      <c r="I16" s="8">
        <v>1.6666666666666701</v>
      </c>
      <c r="J16" s="10">
        <v>3.06666666666667</v>
      </c>
      <c r="K16" s="8">
        <v>2</v>
      </c>
      <c r="L16" s="10">
        <v>2.6</v>
      </c>
      <c r="M16" s="3">
        <v>5.9218329874699603E-4</v>
      </c>
      <c r="N16" s="3">
        <v>6.7191021312362805E-5</v>
      </c>
      <c r="O16" s="3">
        <v>1</v>
      </c>
      <c r="P16" s="8">
        <v>6.94</v>
      </c>
      <c r="Q16" s="10">
        <v>2.29</v>
      </c>
      <c r="R16" s="15">
        <v>4.6500000000000004</v>
      </c>
      <c r="S16" s="8">
        <v>25.52</v>
      </c>
      <c r="T16" s="10">
        <v>25.19</v>
      </c>
      <c r="U16" s="24">
        <f t="shared" si="0"/>
        <v>0.99993280897868764</v>
      </c>
      <c r="V16" s="26"/>
    </row>
    <row r="17" spans="1:22">
      <c r="A17" s="18">
        <v>70</v>
      </c>
      <c r="B17" s="19">
        <v>85</v>
      </c>
      <c r="C17" s="16" t="s">
        <v>92</v>
      </c>
      <c r="D17" s="17" t="s">
        <v>94</v>
      </c>
      <c r="E17" s="23"/>
      <c r="F17" s="20"/>
      <c r="G17" s="8">
        <v>1.86666666666667</v>
      </c>
      <c r="H17" s="10">
        <v>2.7666666666666702</v>
      </c>
      <c r="I17" s="8">
        <v>1.8</v>
      </c>
      <c r="J17" s="10">
        <v>2.8666666666666698</v>
      </c>
      <c r="K17" s="8">
        <v>1.93333333333333</v>
      </c>
      <c r="L17" s="10">
        <v>2.6666666666666701</v>
      </c>
      <c r="M17" s="3">
        <v>9.8986193766246195E-3</v>
      </c>
      <c r="N17" s="3">
        <v>5.1151233948413997E-2</v>
      </c>
      <c r="O17" s="3">
        <v>0.99986956800000004</v>
      </c>
      <c r="P17" s="8">
        <v>6.89</v>
      </c>
      <c r="Q17" s="10">
        <v>5.87</v>
      </c>
      <c r="R17" s="8">
        <v>1.02</v>
      </c>
      <c r="S17" s="8">
        <v>25.27</v>
      </c>
      <c r="T17" s="10">
        <v>23.67</v>
      </c>
      <c r="U17" s="24">
        <f t="shared" si="0"/>
        <v>0.94871833405158601</v>
      </c>
      <c r="V17" s="26"/>
    </row>
    <row r="18" spans="1:22">
      <c r="A18" s="18">
        <v>81</v>
      </c>
      <c r="B18" s="19">
        <v>85</v>
      </c>
      <c r="C18" s="16" t="s">
        <v>101</v>
      </c>
      <c r="D18" s="17" t="s">
        <v>94</v>
      </c>
      <c r="E18" s="21"/>
      <c r="F18" s="20"/>
      <c r="G18" s="8">
        <v>1.8333333333333299</v>
      </c>
      <c r="H18" s="10">
        <v>2.7666666666666702</v>
      </c>
      <c r="I18" s="8">
        <v>1.6666666666666701</v>
      </c>
      <c r="J18" s="10">
        <v>2.8666666666666698</v>
      </c>
      <c r="K18" s="8">
        <v>2</v>
      </c>
      <c r="L18" s="10">
        <v>2.6666666666666701</v>
      </c>
      <c r="M18" s="3">
        <v>4.0351067522509396E-3</v>
      </c>
      <c r="N18" s="3">
        <v>3.70584180821987E-3</v>
      </c>
      <c r="O18" s="3">
        <v>0.99999937500000002</v>
      </c>
      <c r="P18" s="8">
        <v>6.94</v>
      </c>
      <c r="Q18" s="10">
        <v>5.87</v>
      </c>
      <c r="R18" s="15">
        <v>1.07</v>
      </c>
      <c r="S18" s="8">
        <v>25.52</v>
      </c>
      <c r="T18" s="10">
        <v>23.67</v>
      </c>
      <c r="U18" s="24">
        <f t="shared" si="0"/>
        <v>0.99629353319178016</v>
      </c>
      <c r="V18" s="26"/>
    </row>
    <row r="19" spans="1:22">
      <c r="A19" s="18">
        <v>83</v>
      </c>
      <c r="B19" s="19">
        <v>85</v>
      </c>
      <c r="C19" s="16" t="s">
        <v>106</v>
      </c>
      <c r="D19" s="17" t="s">
        <v>94</v>
      </c>
      <c r="E19" s="23"/>
      <c r="F19" s="20"/>
      <c r="G19" s="8">
        <v>1.9</v>
      </c>
      <c r="H19" s="10">
        <v>2.7666666666666702</v>
      </c>
      <c r="I19" s="8">
        <v>1.6666666666666701</v>
      </c>
      <c r="J19" s="10">
        <v>2.8666666666666698</v>
      </c>
      <c r="K19" s="8">
        <v>2.1333333333333302</v>
      </c>
      <c r="L19" s="10">
        <v>2.6666666666666701</v>
      </c>
      <c r="M19" s="3">
        <v>2.2961114856215398E-2</v>
      </c>
      <c r="N19" s="3">
        <v>3.70584180821987E-3</v>
      </c>
      <c r="O19" s="3">
        <v>1</v>
      </c>
      <c r="P19" s="8">
        <v>6.83</v>
      </c>
      <c r="Q19" s="10">
        <v>5.87</v>
      </c>
      <c r="R19" s="15">
        <v>0.95</v>
      </c>
      <c r="S19" s="8">
        <v>24.57</v>
      </c>
      <c r="T19" s="10">
        <v>23.67</v>
      </c>
      <c r="U19" s="24">
        <f t="shared" si="0"/>
        <v>0.99629415819178013</v>
      </c>
      <c r="V19" s="26"/>
    </row>
    <row r="20" spans="1:22">
      <c r="A20" s="18">
        <v>71</v>
      </c>
      <c r="B20" s="19">
        <v>90</v>
      </c>
      <c r="C20" s="16" t="s">
        <v>95</v>
      </c>
      <c r="D20" s="17" t="s">
        <v>96</v>
      </c>
      <c r="E20" s="21"/>
      <c r="F20" s="20" t="s">
        <v>142</v>
      </c>
      <c r="G20" s="8">
        <v>2.2000000000000002</v>
      </c>
      <c r="H20" s="10">
        <v>3.1</v>
      </c>
      <c r="I20" s="8">
        <v>2.06666666666667</v>
      </c>
      <c r="J20" s="10">
        <v>3</v>
      </c>
      <c r="K20" s="8">
        <v>2.3333333333333299</v>
      </c>
      <c r="L20" s="10">
        <v>3.2</v>
      </c>
      <c r="M20" s="3">
        <v>9.8986193766246195E-3</v>
      </c>
      <c r="N20" s="3">
        <v>0.351257237182584</v>
      </c>
      <c r="O20" s="3">
        <v>0.95307785199999995</v>
      </c>
      <c r="P20" s="8">
        <v>31.11</v>
      </c>
      <c r="Q20" s="10">
        <v>25</v>
      </c>
      <c r="R20" s="8">
        <v>6.11</v>
      </c>
      <c r="S20" s="8">
        <v>24.91</v>
      </c>
      <c r="T20" s="10">
        <v>23.25</v>
      </c>
      <c r="U20" s="24">
        <f t="shared" si="0"/>
        <v>0.60182061481741589</v>
      </c>
      <c r="V20" s="26"/>
    </row>
    <row r="21" spans="1:22">
      <c r="A21" s="18">
        <v>50</v>
      </c>
      <c r="B21" s="19">
        <v>104</v>
      </c>
      <c r="C21" s="16" t="s">
        <v>75</v>
      </c>
      <c r="D21" s="17" t="s">
        <v>77</v>
      </c>
      <c r="E21" s="21"/>
      <c r="F21" s="19"/>
      <c r="G21" s="8">
        <v>1.2333333333333301</v>
      </c>
      <c r="H21" s="10">
        <v>2.1333333333333302</v>
      </c>
      <c r="I21" s="8">
        <v>1.2</v>
      </c>
      <c r="J21" s="10">
        <v>2</v>
      </c>
      <c r="K21" s="8">
        <v>1.2666666666666699</v>
      </c>
      <c r="L21" s="10">
        <v>2.2666666666666702</v>
      </c>
      <c r="M21" s="3">
        <v>9.8986193766246195E-3</v>
      </c>
      <c r="N21" s="3">
        <v>0.88723009779233197</v>
      </c>
      <c r="O21" s="3">
        <v>0.55730515400000002</v>
      </c>
      <c r="P21" s="8">
        <v>17.78</v>
      </c>
      <c r="Q21" s="10">
        <v>13</v>
      </c>
      <c r="R21" s="8">
        <v>4.78</v>
      </c>
      <c r="S21" s="8">
        <v>12.6099999999999</v>
      </c>
      <c r="T21" s="10">
        <v>10.3599999999999</v>
      </c>
      <c r="U21" s="24">
        <f t="shared" si="0"/>
        <v>0.32992494379233195</v>
      </c>
      <c r="V21" s="25"/>
    </row>
    <row r="22" spans="1:22">
      <c r="A22" s="19">
        <v>59</v>
      </c>
      <c r="B22" s="18">
        <v>118</v>
      </c>
      <c r="C22" s="17" t="s">
        <v>80</v>
      </c>
      <c r="D22" s="16" t="s">
        <v>81</v>
      </c>
      <c r="E22" s="19" t="s">
        <v>138</v>
      </c>
      <c r="F22" s="18" t="s">
        <v>137</v>
      </c>
      <c r="G22" s="10">
        <v>2.6666666666666701</v>
      </c>
      <c r="H22" s="8">
        <v>1.7333333333333301</v>
      </c>
      <c r="I22" s="10">
        <v>2.1333333333333302</v>
      </c>
      <c r="J22" s="8">
        <v>1.7333333333333301</v>
      </c>
      <c r="K22" s="10">
        <v>3.2</v>
      </c>
      <c r="L22" s="8">
        <v>1.7333333333333301</v>
      </c>
      <c r="M22" s="3">
        <v>4.0351067522509396E-3</v>
      </c>
      <c r="N22" s="3">
        <v>1</v>
      </c>
      <c r="O22" s="3">
        <v>4.0354099999999999E-4</v>
      </c>
      <c r="P22" s="10">
        <v>6.67</v>
      </c>
      <c r="Q22" s="8">
        <v>16.95</v>
      </c>
      <c r="R22" s="8">
        <v>10.29</v>
      </c>
      <c r="S22" s="10">
        <v>16.260000000000002</v>
      </c>
      <c r="T22" s="8">
        <v>39.74</v>
      </c>
      <c r="U22" s="24">
        <f t="shared" si="0"/>
        <v>0.99959645900000005</v>
      </c>
      <c r="V22" s="26"/>
    </row>
    <row r="23" spans="1:22">
      <c r="A23" s="19">
        <v>74</v>
      </c>
      <c r="B23" s="18">
        <v>118</v>
      </c>
      <c r="C23" s="17" t="s">
        <v>98</v>
      </c>
      <c r="D23" s="16" t="s">
        <v>81</v>
      </c>
      <c r="E23" s="19" t="s">
        <v>140</v>
      </c>
      <c r="F23" s="18" t="s">
        <v>137</v>
      </c>
      <c r="G23" s="10">
        <v>2.6333333333333302</v>
      </c>
      <c r="H23" s="8">
        <v>1.7333333333333301</v>
      </c>
      <c r="I23" s="10">
        <v>2.6666666666666701</v>
      </c>
      <c r="J23" s="8">
        <v>1.7333333333333301</v>
      </c>
      <c r="K23" s="10">
        <v>2.6</v>
      </c>
      <c r="L23" s="8">
        <v>1.7333333333333301</v>
      </c>
      <c r="M23" s="3">
        <v>9.8986193766246195E-3</v>
      </c>
      <c r="N23" s="3">
        <v>0.351257237182584</v>
      </c>
      <c r="O23" s="3">
        <v>0.95307785199999995</v>
      </c>
      <c r="P23" s="10">
        <v>10.42</v>
      </c>
      <c r="Q23" s="8">
        <v>16.95</v>
      </c>
      <c r="R23" s="8">
        <v>6.54</v>
      </c>
      <c r="S23" s="10">
        <v>26.39</v>
      </c>
      <c r="T23" s="8">
        <v>39.74</v>
      </c>
      <c r="U23" s="24">
        <f t="shared" si="0"/>
        <v>0.60182061481741589</v>
      </c>
      <c r="V23" s="25"/>
    </row>
    <row r="24" spans="1:22">
      <c r="A24" s="19">
        <v>76</v>
      </c>
      <c r="B24" s="18">
        <v>118</v>
      </c>
      <c r="C24" s="17" t="s">
        <v>99</v>
      </c>
      <c r="D24" s="16" t="s">
        <v>81</v>
      </c>
      <c r="E24" s="20"/>
      <c r="F24" s="18" t="s">
        <v>137</v>
      </c>
      <c r="G24" s="10">
        <v>2.7666666666666702</v>
      </c>
      <c r="H24" s="8">
        <v>1.7333333333333301</v>
      </c>
      <c r="I24" s="10">
        <v>2.7333333333333298</v>
      </c>
      <c r="J24" s="8">
        <v>1.7333333333333301</v>
      </c>
      <c r="K24" s="10">
        <v>2.8</v>
      </c>
      <c r="L24" s="8">
        <v>1.7333333333333301</v>
      </c>
      <c r="M24" s="3">
        <v>2.2989784407712001E-4</v>
      </c>
      <c r="N24" s="3">
        <v>0.14895920324053599</v>
      </c>
      <c r="O24" s="3">
        <v>0.30999542499999999</v>
      </c>
      <c r="P24" s="10">
        <v>10.74</v>
      </c>
      <c r="Q24" s="8">
        <v>16.95</v>
      </c>
      <c r="R24" s="15">
        <v>6.21</v>
      </c>
      <c r="S24" s="10">
        <v>25.52</v>
      </c>
      <c r="T24" s="8">
        <v>39.74</v>
      </c>
      <c r="U24" s="24">
        <f t="shared" si="0"/>
        <v>0.161036221759464</v>
      </c>
      <c r="V24" s="26"/>
    </row>
    <row r="25" spans="1:22">
      <c r="A25" s="19">
        <v>82</v>
      </c>
      <c r="B25" s="18">
        <v>118</v>
      </c>
      <c r="C25" s="17" t="s">
        <v>93</v>
      </c>
      <c r="D25" s="16" t="s">
        <v>81</v>
      </c>
      <c r="E25" s="20"/>
      <c r="F25" s="18" t="s">
        <v>137</v>
      </c>
      <c r="G25" s="10">
        <v>2.8333333333333299</v>
      </c>
      <c r="H25" s="8">
        <v>1.7333333333333301</v>
      </c>
      <c r="I25" s="10">
        <v>3.06666666666667</v>
      </c>
      <c r="J25" s="8">
        <v>1.7333333333333301</v>
      </c>
      <c r="K25" s="10">
        <v>2.6</v>
      </c>
      <c r="L25" s="8">
        <v>1.7333333333333301</v>
      </c>
      <c r="M25" s="3">
        <v>6.14226842371446E-5</v>
      </c>
      <c r="N25" s="3">
        <v>1.90457280800582E-4</v>
      </c>
      <c r="O25" s="3">
        <v>0.95307785199999995</v>
      </c>
      <c r="P25" s="10">
        <v>2.29</v>
      </c>
      <c r="Q25" s="8">
        <v>16.95</v>
      </c>
      <c r="R25" s="15">
        <v>14.66</v>
      </c>
      <c r="S25" s="10">
        <v>25.19</v>
      </c>
      <c r="T25" s="8">
        <v>39.74</v>
      </c>
      <c r="U25" s="24">
        <f t="shared" si="0"/>
        <v>0.95288739471919937</v>
      </c>
      <c r="V25" s="25"/>
    </row>
    <row r="26" spans="1:22">
      <c r="A26" s="19">
        <v>85</v>
      </c>
      <c r="B26" s="18">
        <v>118</v>
      </c>
      <c r="C26" s="17" t="s">
        <v>94</v>
      </c>
      <c r="D26" s="16" t="s">
        <v>81</v>
      </c>
      <c r="E26" s="20"/>
      <c r="F26" s="18" t="s">
        <v>137</v>
      </c>
      <c r="G26" s="10">
        <v>2.7666666666666702</v>
      </c>
      <c r="H26" s="8">
        <v>1.7333333333333301</v>
      </c>
      <c r="I26" s="10">
        <v>2.8666666666666698</v>
      </c>
      <c r="J26" s="8">
        <v>1.7333333333333301</v>
      </c>
      <c r="K26" s="10">
        <v>2.6666666666666701</v>
      </c>
      <c r="L26" s="8">
        <v>1.7333333333333301</v>
      </c>
      <c r="M26" s="3">
        <v>2.2989784407712001E-4</v>
      </c>
      <c r="N26" s="3">
        <v>1.47919275934646E-2</v>
      </c>
      <c r="O26" s="3">
        <v>0.80581418199999999</v>
      </c>
      <c r="P26" s="10">
        <v>5.87</v>
      </c>
      <c r="Q26" s="8">
        <v>16.95</v>
      </c>
      <c r="R26" s="15">
        <v>11.08</v>
      </c>
      <c r="S26" s="10">
        <v>23.67</v>
      </c>
      <c r="T26" s="8">
        <v>39.74</v>
      </c>
      <c r="U26" s="24">
        <f t="shared" si="0"/>
        <v>0.7910222544065354</v>
      </c>
      <c r="V26" s="25"/>
    </row>
    <row r="27" spans="1:22">
      <c r="A27" s="19">
        <v>97</v>
      </c>
      <c r="B27" s="18">
        <v>118</v>
      </c>
      <c r="C27" s="17" t="s">
        <v>109</v>
      </c>
      <c r="D27" s="16" t="s">
        <v>81</v>
      </c>
      <c r="E27" s="20"/>
      <c r="F27" s="18" t="s">
        <v>137</v>
      </c>
      <c r="G27" s="10">
        <v>2.6</v>
      </c>
      <c r="H27" s="8">
        <v>1.7333333333333301</v>
      </c>
      <c r="I27" s="10">
        <v>2.5333333333333301</v>
      </c>
      <c r="J27" s="8">
        <v>1.7333333333333301</v>
      </c>
      <c r="K27" s="10">
        <v>2.6666666666666701</v>
      </c>
      <c r="L27" s="8">
        <v>1.7333333333333301</v>
      </c>
      <c r="M27" s="3">
        <v>2.2961114856215398E-2</v>
      </c>
      <c r="N27" s="3">
        <v>0.88723009779233197</v>
      </c>
      <c r="O27" s="3">
        <v>0.80581418199999999</v>
      </c>
      <c r="P27" s="10">
        <v>9.07</v>
      </c>
      <c r="Q27" s="8">
        <v>16.95</v>
      </c>
      <c r="R27" s="15">
        <v>7.88</v>
      </c>
      <c r="S27" s="10">
        <v>22.59</v>
      </c>
      <c r="T27" s="8">
        <v>39.74</v>
      </c>
      <c r="U27" s="24">
        <f t="shared" si="0"/>
        <v>8.1415915792331983E-2</v>
      </c>
      <c r="V27" s="26"/>
    </row>
    <row r="28" spans="1:22">
      <c r="A28" s="19">
        <v>110</v>
      </c>
      <c r="B28" s="18">
        <v>118</v>
      </c>
      <c r="C28" s="17" t="s">
        <v>113</v>
      </c>
      <c r="D28" s="16" t="s">
        <v>81</v>
      </c>
      <c r="E28" s="19" t="s">
        <v>143</v>
      </c>
      <c r="F28" s="18" t="s">
        <v>137</v>
      </c>
      <c r="G28" s="10">
        <v>2.93333333333333</v>
      </c>
      <c r="H28" s="8">
        <v>1.7333333333333301</v>
      </c>
      <c r="I28" s="10">
        <v>2.8666666666666698</v>
      </c>
      <c r="J28" s="8">
        <v>1.7333333333333301</v>
      </c>
      <c r="K28" s="10">
        <v>3</v>
      </c>
      <c r="L28" s="8">
        <v>1.7333333333333301</v>
      </c>
      <c r="M28" s="3">
        <v>4.3362988571993298E-5</v>
      </c>
      <c r="N28" s="3">
        <v>1.47919275934646E-2</v>
      </c>
      <c r="O28" s="3">
        <v>1.8684570000000001E-2</v>
      </c>
      <c r="P28" s="10">
        <v>8.33</v>
      </c>
      <c r="Q28" s="8">
        <v>16.95</v>
      </c>
      <c r="R28" s="15">
        <v>8.6199999999999992</v>
      </c>
      <c r="S28" s="10">
        <v>27.719999999999899</v>
      </c>
      <c r="T28" s="8">
        <v>39.74</v>
      </c>
      <c r="U28" s="24">
        <f t="shared" si="0"/>
        <v>3.8926424065354008E-3</v>
      </c>
      <c r="V28" s="26"/>
    </row>
    <row r="29" spans="1:22">
      <c r="A29" s="19">
        <v>111</v>
      </c>
      <c r="B29" s="18">
        <v>118</v>
      </c>
      <c r="C29" s="17" t="s">
        <v>114</v>
      </c>
      <c r="D29" s="16" t="s">
        <v>81</v>
      </c>
      <c r="E29" s="19"/>
      <c r="F29" s="18" t="s">
        <v>137</v>
      </c>
      <c r="G29" s="10">
        <v>2.9</v>
      </c>
      <c r="H29" s="8">
        <v>1.7333333333333301</v>
      </c>
      <c r="I29" s="10">
        <v>2.7333333333333298</v>
      </c>
      <c r="J29" s="8">
        <v>1.7333333333333301</v>
      </c>
      <c r="K29" s="10">
        <v>3.06666666666667</v>
      </c>
      <c r="L29" s="8">
        <v>1.7333333333333301</v>
      </c>
      <c r="M29" s="3">
        <v>4.4456692102068401E-5</v>
      </c>
      <c r="N29" s="3">
        <v>0.14895920324053599</v>
      </c>
      <c r="O29" s="3">
        <v>5.6419549999999997E-3</v>
      </c>
      <c r="P29" s="10">
        <v>16.670000000000002</v>
      </c>
      <c r="Q29" s="8">
        <v>16.95</v>
      </c>
      <c r="R29" s="15">
        <v>0.28999999999999998</v>
      </c>
      <c r="S29" s="10">
        <v>27.18</v>
      </c>
      <c r="T29" s="8">
        <v>39.74</v>
      </c>
      <c r="U29" s="24">
        <f t="shared" si="0"/>
        <v>0.14331724824053599</v>
      </c>
      <c r="V29" s="26"/>
    </row>
    <row r="30" spans="1:22">
      <c r="A30" s="19">
        <v>112</v>
      </c>
      <c r="B30" s="18">
        <v>118</v>
      </c>
      <c r="C30" s="17" t="s">
        <v>115</v>
      </c>
      <c r="D30" s="16" t="s">
        <v>81</v>
      </c>
      <c r="E30" s="19"/>
      <c r="F30" s="18" t="s">
        <v>137</v>
      </c>
      <c r="G30" s="10">
        <v>2.93333333333333</v>
      </c>
      <c r="H30" s="8">
        <v>1.7333333333333301</v>
      </c>
      <c r="I30" s="10">
        <v>2.93333333333333</v>
      </c>
      <c r="J30" s="8">
        <v>1.7333333333333301</v>
      </c>
      <c r="K30" s="10">
        <v>2.93333333333333</v>
      </c>
      <c r="L30" s="8">
        <v>1.7333333333333301</v>
      </c>
      <c r="M30" s="3">
        <v>4.3362988571993298E-5</v>
      </c>
      <c r="N30" s="3">
        <v>3.70584180821987E-3</v>
      </c>
      <c r="O30" s="3">
        <v>5.5108659999999997E-2</v>
      </c>
      <c r="P30" s="10">
        <v>16.440000000000001</v>
      </c>
      <c r="Q30" s="8">
        <v>16.95</v>
      </c>
      <c r="R30" s="15">
        <v>0.51</v>
      </c>
      <c r="S30" s="10">
        <v>26.84</v>
      </c>
      <c r="T30" s="8">
        <v>39.74</v>
      </c>
      <c r="U30" s="24">
        <f t="shared" si="0"/>
        <v>5.1402818191780129E-2</v>
      </c>
      <c r="V30" s="25"/>
    </row>
    <row r="31" spans="1:22">
      <c r="A31" s="19">
        <v>67</v>
      </c>
      <c r="B31" s="18">
        <v>119</v>
      </c>
      <c r="C31" s="17" t="s">
        <v>87</v>
      </c>
      <c r="D31" s="16" t="s">
        <v>88</v>
      </c>
      <c r="E31" s="19" t="s">
        <v>139</v>
      </c>
      <c r="F31" s="18" t="s">
        <v>158</v>
      </c>
      <c r="G31" s="10">
        <v>3.5333333333333301</v>
      </c>
      <c r="H31" s="8">
        <v>2.6</v>
      </c>
      <c r="I31" s="10">
        <v>3.4666666666666699</v>
      </c>
      <c r="J31" s="8">
        <v>2.6</v>
      </c>
      <c r="K31" s="10">
        <v>3.6</v>
      </c>
      <c r="L31" s="8">
        <v>2.6</v>
      </c>
      <c r="M31" s="3">
        <v>4.0351067522509396E-3</v>
      </c>
      <c r="N31" s="3">
        <v>0.64124722310169302</v>
      </c>
      <c r="O31" s="3">
        <v>0.55730515400000002</v>
      </c>
      <c r="P31" s="10">
        <v>31.11</v>
      </c>
      <c r="Q31" s="8">
        <v>46.67</v>
      </c>
      <c r="R31" s="8">
        <v>15.56</v>
      </c>
      <c r="S31" s="10">
        <v>26.829999999999899</v>
      </c>
      <c r="T31" s="8">
        <v>38.759999999999899</v>
      </c>
      <c r="U31" s="24">
        <f t="shared" si="0"/>
        <v>8.3942069101692995E-2</v>
      </c>
      <c r="V31" s="25"/>
    </row>
    <row r="32" spans="1:22">
      <c r="A32" s="19">
        <v>82</v>
      </c>
      <c r="B32" s="18">
        <v>120</v>
      </c>
      <c r="C32" s="17" t="s">
        <v>93</v>
      </c>
      <c r="D32" s="16" t="s">
        <v>102</v>
      </c>
      <c r="E32" s="20"/>
      <c r="F32" s="18" t="s">
        <v>159</v>
      </c>
      <c r="G32" s="10">
        <v>2.8333333333333299</v>
      </c>
      <c r="H32" s="8">
        <v>1.86666666666667</v>
      </c>
      <c r="I32" s="10">
        <v>3.06666666666667</v>
      </c>
      <c r="J32" s="8">
        <v>1.7333333333333301</v>
      </c>
      <c r="K32" s="10">
        <v>2.6</v>
      </c>
      <c r="L32" s="8">
        <v>2</v>
      </c>
      <c r="M32" s="3">
        <v>1.5676441311247599E-3</v>
      </c>
      <c r="N32" s="3">
        <v>1.90457280800582E-4</v>
      </c>
      <c r="O32" s="3">
        <v>1</v>
      </c>
      <c r="P32" s="10">
        <v>2.29</v>
      </c>
      <c r="Q32" s="8">
        <v>6.52</v>
      </c>
      <c r="R32" s="15">
        <v>4.2300000000000004</v>
      </c>
      <c r="S32" s="10">
        <v>25.19</v>
      </c>
      <c r="T32" s="8">
        <v>38.219999999999899</v>
      </c>
      <c r="U32" s="24">
        <f t="shared" si="0"/>
        <v>0.99980954271919942</v>
      </c>
      <c r="V32" s="25"/>
    </row>
    <row r="33" spans="1:22">
      <c r="A33" s="19">
        <v>85</v>
      </c>
      <c r="B33" s="18">
        <v>120</v>
      </c>
      <c r="C33" s="17" t="s">
        <v>94</v>
      </c>
      <c r="D33" s="16" t="s">
        <v>102</v>
      </c>
      <c r="E33" s="20"/>
      <c r="F33" s="18" t="s">
        <v>159</v>
      </c>
      <c r="G33" s="10">
        <v>2.7666666666666702</v>
      </c>
      <c r="H33" s="8">
        <v>1.86666666666667</v>
      </c>
      <c r="I33" s="10">
        <v>2.8666666666666698</v>
      </c>
      <c r="J33" s="8">
        <v>1.7333333333333301</v>
      </c>
      <c r="K33" s="10">
        <v>2.6666666666666701</v>
      </c>
      <c r="L33" s="8">
        <v>2</v>
      </c>
      <c r="M33" s="3">
        <v>9.8986193766246195E-3</v>
      </c>
      <c r="N33" s="3">
        <v>1.47919275934646E-2</v>
      </c>
      <c r="O33" s="3">
        <v>0.99999937500000002</v>
      </c>
      <c r="P33" s="10">
        <v>5.87</v>
      </c>
      <c r="Q33" s="8">
        <v>6.52</v>
      </c>
      <c r="R33" s="15">
        <v>0.65</v>
      </c>
      <c r="S33" s="10">
        <v>23.67</v>
      </c>
      <c r="T33" s="8">
        <v>38.219999999999899</v>
      </c>
      <c r="U33" s="24">
        <f t="shared" si="0"/>
        <v>0.98520744740653543</v>
      </c>
      <c r="V33" s="25"/>
    </row>
    <row r="34" spans="1:22">
      <c r="A34" s="19">
        <v>82</v>
      </c>
      <c r="B34" s="18">
        <v>125</v>
      </c>
      <c r="C34" s="17" t="s">
        <v>93</v>
      </c>
      <c r="D34" s="16" t="s">
        <v>103</v>
      </c>
      <c r="E34" s="20"/>
      <c r="F34" s="21" t="s">
        <v>160</v>
      </c>
      <c r="G34" s="10">
        <v>2.8333333333333299</v>
      </c>
      <c r="H34" s="8">
        <v>1.93333333333333</v>
      </c>
      <c r="I34" s="10">
        <v>3.06666666666667</v>
      </c>
      <c r="J34" s="8">
        <v>1.5333333333333301</v>
      </c>
      <c r="K34" s="10">
        <v>2.6</v>
      </c>
      <c r="L34" s="8">
        <v>2.3333333333333299</v>
      </c>
      <c r="M34" s="3">
        <v>9.8986193766246195E-3</v>
      </c>
      <c r="N34" s="3">
        <v>4.3422582455932002E-5</v>
      </c>
      <c r="O34" s="3">
        <v>1</v>
      </c>
      <c r="P34" s="10">
        <v>2.29</v>
      </c>
      <c r="Q34" s="8">
        <v>6</v>
      </c>
      <c r="R34" s="15">
        <v>3.71</v>
      </c>
      <c r="S34" s="10">
        <v>25.19</v>
      </c>
      <c r="T34" s="8">
        <v>37.5399999999999</v>
      </c>
      <c r="U34" s="24">
        <f t="shared" si="0"/>
        <v>0.99995657741754407</v>
      </c>
      <c r="V34" s="26"/>
    </row>
    <row r="35" spans="1:22">
      <c r="A35" s="19">
        <v>119</v>
      </c>
      <c r="B35" s="18">
        <v>126</v>
      </c>
      <c r="C35" s="17" t="s">
        <v>88</v>
      </c>
      <c r="D35" s="16" t="s">
        <v>122</v>
      </c>
      <c r="E35" s="19" t="s">
        <v>147</v>
      </c>
      <c r="F35" s="21" t="s">
        <v>161</v>
      </c>
      <c r="G35" s="10">
        <v>2.6</v>
      </c>
      <c r="H35" s="8">
        <v>3.4666666666666699</v>
      </c>
      <c r="I35" s="10">
        <v>2.6</v>
      </c>
      <c r="J35" s="8">
        <v>3.2666666666666702</v>
      </c>
      <c r="K35" s="10">
        <v>2.6</v>
      </c>
      <c r="L35" s="8">
        <v>3.6666666666666701</v>
      </c>
      <c r="M35" s="3">
        <v>2.2961114856215999E-2</v>
      </c>
      <c r="N35" s="3">
        <v>0.99955975858591095</v>
      </c>
      <c r="O35" s="3">
        <v>0.30999542499999999</v>
      </c>
      <c r="P35" s="10">
        <v>46.67</v>
      </c>
      <c r="Q35" s="8">
        <v>20</v>
      </c>
      <c r="R35" s="15">
        <v>26.67</v>
      </c>
      <c r="S35" s="10">
        <v>38.759999999999899</v>
      </c>
      <c r="T35" s="8">
        <v>36.719999999999899</v>
      </c>
      <c r="U35" s="24">
        <f t="shared" si="0"/>
        <v>0.68956433358591096</v>
      </c>
      <c r="V35" s="25"/>
    </row>
    <row r="36" spans="1:22">
      <c r="A36" s="19">
        <v>119</v>
      </c>
      <c r="B36" s="18">
        <v>130</v>
      </c>
      <c r="C36" s="17" t="s">
        <v>88</v>
      </c>
      <c r="D36" s="16" t="s">
        <v>123</v>
      </c>
      <c r="E36" s="19" t="s">
        <v>147</v>
      </c>
      <c r="F36" s="21" t="s">
        <v>157</v>
      </c>
      <c r="G36" s="10">
        <v>2.6</v>
      </c>
      <c r="H36" s="8">
        <v>3.7666666666666702</v>
      </c>
      <c r="I36" s="10">
        <v>2.6</v>
      </c>
      <c r="J36" s="8">
        <v>3.8</v>
      </c>
      <c r="K36" s="10">
        <v>2.6</v>
      </c>
      <c r="L36" s="8">
        <v>3.7333333333333298</v>
      </c>
      <c r="M36" s="3">
        <v>4.4456692102068401E-5</v>
      </c>
      <c r="N36" s="3">
        <v>3.70584180821987E-3</v>
      </c>
      <c r="O36" s="3">
        <v>0.141840877</v>
      </c>
      <c r="P36" s="10">
        <v>46.67</v>
      </c>
      <c r="Q36" s="8">
        <v>40</v>
      </c>
      <c r="R36" s="15">
        <v>6.67</v>
      </c>
      <c r="S36" s="10">
        <v>38.759999999999899</v>
      </c>
      <c r="T36" s="8">
        <v>36.090000000000003</v>
      </c>
      <c r="U36" s="24">
        <f t="shared" si="0"/>
        <v>0.13813503519178014</v>
      </c>
      <c r="V36" s="25"/>
    </row>
    <row r="37" spans="1:22">
      <c r="A37" s="18">
        <v>121</v>
      </c>
      <c r="B37" s="19">
        <v>130</v>
      </c>
      <c r="C37" s="16" t="s">
        <v>125</v>
      </c>
      <c r="D37" s="17" t="s">
        <v>123</v>
      </c>
      <c r="E37" s="18" t="s">
        <v>169</v>
      </c>
      <c r="F37" s="20" t="s">
        <v>157</v>
      </c>
      <c r="G37" s="8">
        <v>2.8666666666666698</v>
      </c>
      <c r="H37" s="10">
        <v>3.7666666666666702</v>
      </c>
      <c r="I37" s="8">
        <v>2.6</v>
      </c>
      <c r="J37" s="10">
        <v>3.8</v>
      </c>
      <c r="K37" s="8">
        <v>3.1333333333333302</v>
      </c>
      <c r="L37" s="10">
        <v>3.7333333333333298</v>
      </c>
      <c r="M37" s="3">
        <v>9.8986193766247305E-3</v>
      </c>
      <c r="N37" s="3">
        <v>3.70584180821987E-3</v>
      </c>
      <c r="O37" s="3">
        <v>1</v>
      </c>
      <c r="P37" s="8">
        <v>42.86</v>
      </c>
      <c r="Q37" s="10">
        <v>40</v>
      </c>
      <c r="R37" s="15">
        <v>2.86</v>
      </c>
      <c r="S37" s="8">
        <v>37.369999999999898</v>
      </c>
      <c r="T37" s="10">
        <v>36.090000000000003</v>
      </c>
      <c r="U37" s="24">
        <f t="shared" ref="U37:U68" si="1">ABS(N37-O37)</f>
        <v>0.99629415819178013</v>
      </c>
      <c r="V37" s="26"/>
    </row>
    <row r="38" spans="1:22">
      <c r="A38" s="19">
        <v>59</v>
      </c>
      <c r="B38" s="18">
        <v>131</v>
      </c>
      <c r="C38" s="17" t="s">
        <v>80</v>
      </c>
      <c r="D38" s="16" t="s">
        <v>82</v>
      </c>
      <c r="E38" s="19" t="s">
        <v>138</v>
      </c>
      <c r="F38" s="21"/>
      <c r="G38" s="10">
        <v>2.6666666666666701</v>
      </c>
      <c r="H38" s="8">
        <v>1.7333333333333301</v>
      </c>
      <c r="I38" s="10">
        <v>2.1333333333333302</v>
      </c>
      <c r="J38" s="8">
        <v>1.4666666666666699</v>
      </c>
      <c r="K38" s="10">
        <v>3.2</v>
      </c>
      <c r="L38" s="8">
        <v>2</v>
      </c>
      <c r="M38" s="3">
        <v>4.0351067522509396E-3</v>
      </c>
      <c r="N38" s="3">
        <v>0.99955975858591095</v>
      </c>
      <c r="O38" s="3">
        <v>5.5108659999999997E-2</v>
      </c>
      <c r="P38" s="10">
        <v>6.67</v>
      </c>
      <c r="Q38" s="8">
        <v>15.26</v>
      </c>
      <c r="R38" s="8">
        <v>8.59</v>
      </c>
      <c r="S38" s="10">
        <v>16.260000000000002</v>
      </c>
      <c r="T38" s="8">
        <v>24.62</v>
      </c>
      <c r="U38" s="24">
        <f t="shared" si="1"/>
        <v>0.94445109858591092</v>
      </c>
      <c r="V38" s="25"/>
    </row>
    <row r="39" spans="1:22">
      <c r="A39" s="19">
        <v>85</v>
      </c>
      <c r="B39" s="18">
        <v>131</v>
      </c>
      <c r="C39" s="17" t="s">
        <v>94</v>
      </c>
      <c r="D39" s="16" t="s">
        <v>82</v>
      </c>
      <c r="E39" s="20"/>
      <c r="F39" s="21"/>
      <c r="G39" s="10">
        <v>2.7666666666666702</v>
      </c>
      <c r="H39" s="8">
        <v>1.7333333333333301</v>
      </c>
      <c r="I39" s="10">
        <v>2.8666666666666698</v>
      </c>
      <c r="J39" s="8">
        <v>1.4666666666666699</v>
      </c>
      <c r="K39" s="10">
        <v>2.6666666666666701</v>
      </c>
      <c r="L39" s="8">
        <v>2</v>
      </c>
      <c r="M39" s="3">
        <v>2.2989784407712001E-4</v>
      </c>
      <c r="N39" s="3">
        <v>6.7191021312362805E-5</v>
      </c>
      <c r="O39" s="3">
        <v>1</v>
      </c>
      <c r="P39" s="10">
        <v>5.87</v>
      </c>
      <c r="Q39" s="8">
        <v>15.26</v>
      </c>
      <c r="R39" s="15">
        <v>9.39</v>
      </c>
      <c r="S39" s="10">
        <v>23.67</v>
      </c>
      <c r="T39" s="8">
        <v>24.62</v>
      </c>
      <c r="U39" s="24">
        <f t="shared" si="1"/>
        <v>0.99993280897868764</v>
      </c>
      <c r="V39" s="26"/>
    </row>
    <row r="40" spans="1:22">
      <c r="A40" s="19">
        <v>97</v>
      </c>
      <c r="B40" s="18">
        <v>131</v>
      </c>
      <c r="C40" s="17" t="s">
        <v>109</v>
      </c>
      <c r="D40" s="16" t="s">
        <v>82</v>
      </c>
      <c r="E40" s="20"/>
      <c r="F40" s="21"/>
      <c r="G40" s="10">
        <v>2.6</v>
      </c>
      <c r="H40" s="8">
        <v>1.7333333333333301</v>
      </c>
      <c r="I40" s="10">
        <v>2.5333333333333301</v>
      </c>
      <c r="J40" s="8">
        <v>1.4666666666666699</v>
      </c>
      <c r="K40" s="10">
        <v>2.6666666666666701</v>
      </c>
      <c r="L40" s="8">
        <v>2</v>
      </c>
      <c r="M40" s="3">
        <v>2.2961114856215398E-2</v>
      </c>
      <c r="N40" s="3">
        <v>5.1151233948413997E-2</v>
      </c>
      <c r="O40" s="3">
        <v>0.99999937500000002</v>
      </c>
      <c r="P40" s="10">
        <v>9.07</v>
      </c>
      <c r="Q40" s="8">
        <v>15.26</v>
      </c>
      <c r="R40" s="15">
        <v>6.19</v>
      </c>
      <c r="S40" s="10">
        <v>22.59</v>
      </c>
      <c r="T40" s="8">
        <v>24.62</v>
      </c>
      <c r="U40" s="24">
        <f t="shared" si="1"/>
        <v>0.94884814105158599</v>
      </c>
      <c r="V40" s="25"/>
    </row>
    <row r="41" spans="1:22">
      <c r="A41" s="18">
        <v>100</v>
      </c>
      <c r="B41" s="19">
        <v>140</v>
      </c>
      <c r="C41" s="16" t="s">
        <v>110</v>
      </c>
      <c r="D41" s="17" t="s">
        <v>111</v>
      </c>
      <c r="E41" s="23"/>
      <c r="F41" s="11" t="s">
        <v>149</v>
      </c>
      <c r="G41" s="8">
        <v>2.1333333333333302</v>
      </c>
      <c r="H41" s="10">
        <v>3</v>
      </c>
      <c r="I41" s="8">
        <v>2.2000000000000002</v>
      </c>
      <c r="J41" s="10">
        <v>2.8666666666666698</v>
      </c>
      <c r="K41" s="8">
        <v>2.06666666666667</v>
      </c>
      <c r="L41" s="10">
        <v>3.1333333333333302</v>
      </c>
      <c r="M41" s="3">
        <v>2.2961114856215398E-2</v>
      </c>
      <c r="N41" s="3">
        <v>0.99955975858591095</v>
      </c>
      <c r="O41" s="3">
        <v>0.30999542499999999</v>
      </c>
      <c r="P41" s="8">
        <v>26.11</v>
      </c>
      <c r="Q41" s="10">
        <v>20</v>
      </c>
      <c r="R41" s="15">
        <v>6.11</v>
      </c>
      <c r="S41" s="8">
        <v>21.8</v>
      </c>
      <c r="T41" s="10">
        <v>16.6099999999999</v>
      </c>
      <c r="U41" s="24">
        <f t="shared" si="1"/>
        <v>0.68956433358591096</v>
      </c>
      <c r="V41" s="26"/>
    </row>
    <row r="42" spans="1:22">
      <c r="A42" s="18">
        <v>116</v>
      </c>
      <c r="B42" s="19">
        <v>140</v>
      </c>
      <c r="C42" s="16" t="s">
        <v>116</v>
      </c>
      <c r="D42" s="17" t="s">
        <v>111</v>
      </c>
      <c r="E42" s="18" t="s">
        <v>146</v>
      </c>
      <c r="F42" s="11" t="s">
        <v>149</v>
      </c>
      <c r="G42" s="8">
        <v>2.0333333333333301</v>
      </c>
      <c r="H42" s="10">
        <v>3</v>
      </c>
      <c r="I42" s="8">
        <v>1.6666666666666701</v>
      </c>
      <c r="J42" s="10">
        <v>2.8666666666666698</v>
      </c>
      <c r="K42" s="8">
        <v>2.4</v>
      </c>
      <c r="L42" s="10">
        <v>3.1333333333333302</v>
      </c>
      <c r="M42" s="3">
        <v>1.5676441311247599E-3</v>
      </c>
      <c r="N42" s="3">
        <v>3.70584180821987E-3</v>
      </c>
      <c r="O42" s="3">
        <v>0.99986956800000004</v>
      </c>
      <c r="P42" s="8">
        <v>24.76</v>
      </c>
      <c r="Q42" s="10">
        <v>20</v>
      </c>
      <c r="R42" s="15">
        <v>4.76</v>
      </c>
      <c r="S42" s="8">
        <v>20.52</v>
      </c>
      <c r="T42" s="10">
        <v>16.6099999999999</v>
      </c>
      <c r="U42" s="24">
        <f t="shared" si="1"/>
        <v>0.99616372619178017</v>
      </c>
      <c r="V42" s="26"/>
    </row>
    <row r="43" spans="1:22">
      <c r="A43" s="19">
        <v>76</v>
      </c>
      <c r="B43" s="18">
        <v>147</v>
      </c>
      <c r="C43" s="17" t="s">
        <v>99</v>
      </c>
      <c r="D43" s="16" t="s">
        <v>100</v>
      </c>
      <c r="E43" s="20"/>
      <c r="F43" s="18" t="s">
        <v>150</v>
      </c>
      <c r="G43" s="10">
        <v>2.7666666666666702</v>
      </c>
      <c r="H43" s="8">
        <v>1.8333333333333299</v>
      </c>
      <c r="I43" s="10">
        <v>2.7333333333333298</v>
      </c>
      <c r="J43" s="8">
        <v>1.93333333333333</v>
      </c>
      <c r="K43" s="10">
        <v>2.8</v>
      </c>
      <c r="L43" s="8">
        <v>1.7333333333333301</v>
      </c>
      <c r="M43" s="3">
        <v>4.0351067522509396E-3</v>
      </c>
      <c r="N43" s="3">
        <v>0.88723009779233197</v>
      </c>
      <c r="O43" s="3">
        <v>0.30999542499999999</v>
      </c>
      <c r="P43" s="10">
        <v>10.74</v>
      </c>
      <c r="Q43" s="8">
        <v>12.76</v>
      </c>
      <c r="R43" s="15">
        <v>2.02</v>
      </c>
      <c r="S43" s="10">
        <v>25.52</v>
      </c>
      <c r="T43" s="8">
        <v>28.8</v>
      </c>
      <c r="U43" s="24">
        <f t="shared" si="1"/>
        <v>0.57723467279233198</v>
      </c>
      <c r="V43" s="25"/>
    </row>
    <row r="44" spans="1:22">
      <c r="A44" s="19">
        <v>82</v>
      </c>
      <c r="B44" s="18">
        <v>147</v>
      </c>
      <c r="C44" s="17" t="s">
        <v>93</v>
      </c>
      <c r="D44" s="16" t="s">
        <v>100</v>
      </c>
      <c r="E44" s="20"/>
      <c r="F44" s="18" t="s">
        <v>150</v>
      </c>
      <c r="G44" s="10">
        <v>2.8333333333333299</v>
      </c>
      <c r="H44" s="8">
        <v>1.8333333333333299</v>
      </c>
      <c r="I44" s="10">
        <v>3.06666666666667</v>
      </c>
      <c r="J44" s="8">
        <v>1.93333333333333</v>
      </c>
      <c r="K44" s="10">
        <v>2.6</v>
      </c>
      <c r="L44" s="8">
        <v>1.7333333333333301</v>
      </c>
      <c r="M44" s="3">
        <v>5.9218329874699603E-4</v>
      </c>
      <c r="N44" s="3">
        <v>1.47919275934646E-2</v>
      </c>
      <c r="O44" s="3">
        <v>0.95307785199999995</v>
      </c>
      <c r="P44" s="10">
        <v>2.29</v>
      </c>
      <c r="Q44" s="8">
        <v>12.76</v>
      </c>
      <c r="R44" s="15">
        <v>10.47</v>
      </c>
      <c r="S44" s="10">
        <v>25.19</v>
      </c>
      <c r="T44" s="8">
        <v>28.8</v>
      </c>
      <c r="U44" s="24">
        <f t="shared" si="1"/>
        <v>0.93828592440653535</v>
      </c>
      <c r="V44" s="26"/>
    </row>
    <row r="45" spans="1:22">
      <c r="A45" s="19">
        <v>85</v>
      </c>
      <c r="B45" s="18">
        <v>147</v>
      </c>
      <c r="C45" s="17" t="s">
        <v>94</v>
      </c>
      <c r="D45" s="16" t="s">
        <v>100</v>
      </c>
      <c r="E45" s="20"/>
      <c r="F45" s="18" t="s">
        <v>150</v>
      </c>
      <c r="G45" s="10">
        <v>2.7666666666666702</v>
      </c>
      <c r="H45" s="8">
        <v>1.8333333333333299</v>
      </c>
      <c r="I45" s="10">
        <v>2.8666666666666698</v>
      </c>
      <c r="J45" s="8">
        <v>1.93333333333333</v>
      </c>
      <c r="K45" s="10">
        <v>2.6666666666666701</v>
      </c>
      <c r="L45" s="8">
        <v>1.7333333333333301</v>
      </c>
      <c r="M45" s="3">
        <v>4.0351067522509396E-3</v>
      </c>
      <c r="N45" s="3">
        <v>0.351257237182584</v>
      </c>
      <c r="O45" s="3">
        <v>0.80581418199999999</v>
      </c>
      <c r="P45" s="10">
        <v>5.87</v>
      </c>
      <c r="Q45" s="8">
        <v>12.76</v>
      </c>
      <c r="R45" s="15">
        <v>6.89</v>
      </c>
      <c r="S45" s="10">
        <v>23.67</v>
      </c>
      <c r="T45" s="8">
        <v>28.8</v>
      </c>
      <c r="U45" s="24">
        <f t="shared" si="1"/>
        <v>0.45455694481741599</v>
      </c>
      <c r="V45" s="26"/>
    </row>
    <row r="46" spans="1:22">
      <c r="A46" s="19">
        <v>110</v>
      </c>
      <c r="B46" s="18">
        <v>147</v>
      </c>
      <c r="C46" s="17" t="s">
        <v>113</v>
      </c>
      <c r="D46" s="16" t="s">
        <v>100</v>
      </c>
      <c r="E46" s="19" t="s">
        <v>143</v>
      </c>
      <c r="F46" s="18" t="s">
        <v>150</v>
      </c>
      <c r="G46" s="10">
        <v>2.93333333333333</v>
      </c>
      <c r="H46" s="8">
        <v>1.8333333333333299</v>
      </c>
      <c r="I46" s="10">
        <v>2.8666666666666698</v>
      </c>
      <c r="J46" s="8">
        <v>1.93333333333333</v>
      </c>
      <c r="K46" s="10">
        <v>3</v>
      </c>
      <c r="L46" s="8">
        <v>1.7333333333333301</v>
      </c>
      <c r="M46" s="3">
        <v>6.14226842371446E-5</v>
      </c>
      <c r="N46" s="3">
        <v>0.351257237182584</v>
      </c>
      <c r="O46" s="3">
        <v>1.8684570000000001E-2</v>
      </c>
      <c r="P46" s="10">
        <v>8.33</v>
      </c>
      <c r="Q46" s="8">
        <v>12.76</v>
      </c>
      <c r="R46" s="15">
        <v>4.43</v>
      </c>
      <c r="S46" s="10">
        <v>27.719999999999899</v>
      </c>
      <c r="T46" s="8">
        <v>28.8</v>
      </c>
      <c r="U46" s="24">
        <f t="shared" si="1"/>
        <v>0.33257266718258399</v>
      </c>
      <c r="V46" s="26"/>
    </row>
    <row r="47" spans="1:22">
      <c r="A47" s="18">
        <v>118</v>
      </c>
      <c r="B47" s="19">
        <v>149</v>
      </c>
      <c r="C47" s="16" t="s">
        <v>81</v>
      </c>
      <c r="D47" s="17" t="s">
        <v>117</v>
      </c>
      <c r="E47" s="18" t="s">
        <v>137</v>
      </c>
      <c r="F47" s="20"/>
      <c r="G47" s="8">
        <v>1.7333333333333301</v>
      </c>
      <c r="H47" s="10">
        <v>2.7333333333333298</v>
      </c>
      <c r="I47" s="8">
        <v>1.7333333333333301</v>
      </c>
      <c r="J47" s="10">
        <v>2.7333333333333298</v>
      </c>
      <c r="K47" s="8">
        <v>1.7333333333333301</v>
      </c>
      <c r="L47" s="10">
        <v>2.7333333333333298</v>
      </c>
      <c r="M47" s="3">
        <v>5.9218329874699603E-4</v>
      </c>
      <c r="N47" s="3">
        <v>0.14895920324053599</v>
      </c>
      <c r="O47" s="3">
        <v>0.55730515400000002</v>
      </c>
      <c r="P47" s="8">
        <v>16.95</v>
      </c>
      <c r="Q47" s="10">
        <v>10.86</v>
      </c>
      <c r="R47" s="15">
        <v>6.1</v>
      </c>
      <c r="S47" s="8">
        <v>39.74</v>
      </c>
      <c r="T47" s="10">
        <v>27.78</v>
      </c>
      <c r="U47" s="24">
        <f t="shared" si="1"/>
        <v>0.408345950759464</v>
      </c>
      <c r="V47" s="26"/>
    </row>
    <row r="48" spans="1:22">
      <c r="A48" s="18">
        <v>147</v>
      </c>
      <c r="B48" s="19">
        <v>149</v>
      </c>
      <c r="C48" s="16" t="s">
        <v>100</v>
      </c>
      <c r="D48" s="17" t="s">
        <v>117</v>
      </c>
      <c r="E48" s="18" t="s">
        <v>150</v>
      </c>
      <c r="F48" s="20"/>
      <c r="G48" s="8">
        <v>1.8333333333333299</v>
      </c>
      <c r="H48" s="10">
        <v>2.7333333333333298</v>
      </c>
      <c r="I48" s="8">
        <v>1.93333333333333</v>
      </c>
      <c r="J48" s="10">
        <v>2.7333333333333298</v>
      </c>
      <c r="K48" s="8">
        <v>1.7333333333333301</v>
      </c>
      <c r="L48" s="10">
        <v>2.7333333333333298</v>
      </c>
      <c r="M48" s="3">
        <v>9.8986193766246195E-3</v>
      </c>
      <c r="N48" s="3">
        <v>0.88723009779233197</v>
      </c>
      <c r="O48" s="3">
        <v>0.55730515400000002</v>
      </c>
      <c r="P48" s="8">
        <v>12.76</v>
      </c>
      <c r="Q48" s="10">
        <v>10.86</v>
      </c>
      <c r="R48" s="15">
        <v>1.9</v>
      </c>
      <c r="S48" s="8">
        <v>28.8</v>
      </c>
      <c r="T48" s="10">
        <v>27.78</v>
      </c>
      <c r="U48" s="24">
        <f t="shared" si="1"/>
        <v>0.32992494379233195</v>
      </c>
      <c r="V48" s="26"/>
    </row>
    <row r="49" spans="1:22">
      <c r="A49" s="19">
        <v>59</v>
      </c>
      <c r="B49" s="18">
        <v>156</v>
      </c>
      <c r="C49" s="17" t="s">
        <v>80</v>
      </c>
      <c r="D49" s="16" t="s">
        <v>83</v>
      </c>
      <c r="E49" s="19" t="s">
        <v>138</v>
      </c>
      <c r="F49" s="21" t="s">
        <v>152</v>
      </c>
      <c r="G49" s="10">
        <v>2.6666666666666701</v>
      </c>
      <c r="H49" s="8">
        <v>1.7</v>
      </c>
      <c r="I49" s="10">
        <v>2.1333333333333302</v>
      </c>
      <c r="J49" s="8">
        <v>1.6</v>
      </c>
      <c r="K49" s="10">
        <v>3.2</v>
      </c>
      <c r="L49" s="8">
        <v>1.8</v>
      </c>
      <c r="M49" s="3">
        <v>1.5676441311247599E-3</v>
      </c>
      <c r="N49" s="3">
        <v>0.99999999961884101</v>
      </c>
      <c r="O49" s="3">
        <v>1.5452179999999999E-3</v>
      </c>
      <c r="P49" s="10">
        <v>6.67</v>
      </c>
      <c r="Q49" s="8">
        <v>12.44</v>
      </c>
      <c r="R49" s="8">
        <v>5.78</v>
      </c>
      <c r="S49" s="10">
        <v>16.260000000000002</v>
      </c>
      <c r="T49" s="8">
        <v>37.0399999999999</v>
      </c>
      <c r="U49" s="24">
        <f t="shared" si="1"/>
        <v>0.99845478161884105</v>
      </c>
      <c r="V49" s="25"/>
    </row>
    <row r="50" spans="1:22">
      <c r="A50" s="19">
        <v>74</v>
      </c>
      <c r="B50" s="18">
        <v>156</v>
      </c>
      <c r="C50" s="17" t="s">
        <v>98</v>
      </c>
      <c r="D50" s="16" t="s">
        <v>83</v>
      </c>
      <c r="E50" s="19" t="s">
        <v>140</v>
      </c>
      <c r="F50" s="21" t="s">
        <v>152</v>
      </c>
      <c r="G50" s="10">
        <v>2.6333333333333302</v>
      </c>
      <c r="H50" s="8">
        <v>1.7</v>
      </c>
      <c r="I50" s="10">
        <v>2.6666666666666701</v>
      </c>
      <c r="J50" s="8">
        <v>1.6</v>
      </c>
      <c r="K50" s="10">
        <v>2.6</v>
      </c>
      <c r="L50" s="8">
        <v>1.8</v>
      </c>
      <c r="M50" s="3">
        <v>4.0351067522509396E-3</v>
      </c>
      <c r="N50" s="3">
        <v>5.1151233948413997E-2</v>
      </c>
      <c r="O50" s="3">
        <v>0.99533162900000005</v>
      </c>
      <c r="P50" s="10">
        <v>10.42</v>
      </c>
      <c r="Q50" s="8">
        <v>12.44</v>
      </c>
      <c r="R50" s="15">
        <v>2.0299999999999998</v>
      </c>
      <c r="S50" s="10">
        <v>26.39</v>
      </c>
      <c r="T50" s="8">
        <v>37.0399999999999</v>
      </c>
      <c r="U50" s="24">
        <f t="shared" si="1"/>
        <v>0.94418039505158602</v>
      </c>
      <c r="V50" s="26"/>
    </row>
    <row r="51" spans="1:22">
      <c r="A51" s="19">
        <v>76</v>
      </c>
      <c r="B51" s="18">
        <v>156</v>
      </c>
      <c r="C51" s="17" t="s">
        <v>99</v>
      </c>
      <c r="D51" s="16" t="s">
        <v>83</v>
      </c>
      <c r="E51" s="20"/>
      <c r="F51" s="21" t="s">
        <v>152</v>
      </c>
      <c r="G51" s="10">
        <v>2.7666666666666702</v>
      </c>
      <c r="H51" s="8">
        <v>1.7</v>
      </c>
      <c r="I51" s="10">
        <v>2.7333333333333298</v>
      </c>
      <c r="J51" s="8">
        <v>1.6</v>
      </c>
      <c r="K51" s="10">
        <v>2.8</v>
      </c>
      <c r="L51" s="8">
        <v>1.8</v>
      </c>
      <c r="M51" s="3">
        <v>1.03245008820529E-4</v>
      </c>
      <c r="N51" s="3">
        <v>1.47919275934646E-2</v>
      </c>
      <c r="O51" s="3">
        <v>0.55730515400000002</v>
      </c>
      <c r="P51" s="10">
        <v>10.74</v>
      </c>
      <c r="Q51" s="8">
        <v>12.44</v>
      </c>
      <c r="R51" s="15">
        <v>1.7</v>
      </c>
      <c r="S51" s="10">
        <v>25.52</v>
      </c>
      <c r="T51" s="8">
        <v>37.0399999999999</v>
      </c>
      <c r="U51" s="24">
        <f t="shared" si="1"/>
        <v>0.54251322640653543</v>
      </c>
      <c r="V51" s="25"/>
    </row>
    <row r="52" spans="1:22">
      <c r="A52" s="19">
        <v>82</v>
      </c>
      <c r="B52" s="18">
        <v>156</v>
      </c>
      <c r="C52" s="17" t="s">
        <v>93</v>
      </c>
      <c r="D52" s="16" t="s">
        <v>83</v>
      </c>
      <c r="E52" s="20"/>
      <c r="F52" s="21" t="s">
        <v>152</v>
      </c>
      <c r="G52" s="10">
        <v>2.8333333333333299</v>
      </c>
      <c r="H52" s="8">
        <v>1.7</v>
      </c>
      <c r="I52" s="10">
        <v>3.06666666666667</v>
      </c>
      <c r="J52" s="8">
        <v>1.6</v>
      </c>
      <c r="K52" s="10">
        <v>2.6</v>
      </c>
      <c r="L52" s="8">
        <v>1.8</v>
      </c>
      <c r="M52" s="3">
        <v>4.8339700879584898E-5</v>
      </c>
      <c r="N52" s="3">
        <v>4.6483052051793399E-5</v>
      </c>
      <c r="O52" s="3">
        <v>0.995</v>
      </c>
      <c r="P52" s="10">
        <v>2.29</v>
      </c>
      <c r="Q52" s="8">
        <v>12.44</v>
      </c>
      <c r="R52" s="15">
        <v>10.15</v>
      </c>
      <c r="S52" s="10">
        <v>25.19</v>
      </c>
      <c r="T52" s="8">
        <v>37.0399999999999</v>
      </c>
      <c r="U52" s="24">
        <f t="shared" si="1"/>
        <v>0.9949535169479482</v>
      </c>
      <c r="V52" s="25"/>
    </row>
    <row r="53" spans="1:22">
      <c r="A53" s="19">
        <v>85</v>
      </c>
      <c r="B53" s="18">
        <v>156</v>
      </c>
      <c r="C53" s="17" t="s">
        <v>94</v>
      </c>
      <c r="D53" s="16" t="s">
        <v>83</v>
      </c>
      <c r="E53" s="20"/>
      <c r="F53" s="21" t="s">
        <v>152</v>
      </c>
      <c r="G53" s="10">
        <v>2.7666666666666702</v>
      </c>
      <c r="H53" s="8">
        <v>1.7</v>
      </c>
      <c r="I53" s="10">
        <v>2.8666666666666698</v>
      </c>
      <c r="J53" s="8">
        <v>1.6</v>
      </c>
      <c r="K53" s="10">
        <v>2.6666666666666701</v>
      </c>
      <c r="L53" s="8">
        <v>1.8</v>
      </c>
      <c r="M53" s="3">
        <v>1.03245008820529E-4</v>
      </c>
      <c r="N53" s="3">
        <v>8.3113400203305198E-4</v>
      </c>
      <c r="O53" s="3">
        <v>0.95307785199999995</v>
      </c>
      <c r="P53" s="10">
        <v>5.87</v>
      </c>
      <c r="Q53" s="8">
        <v>12.44</v>
      </c>
      <c r="R53" s="15">
        <v>6.57</v>
      </c>
      <c r="S53" s="10">
        <v>23.67</v>
      </c>
      <c r="T53" s="8">
        <v>37.0399999999999</v>
      </c>
      <c r="U53" s="24">
        <f t="shared" si="1"/>
        <v>0.9522467179979669</v>
      </c>
      <c r="V53" s="25"/>
    </row>
    <row r="54" spans="1:22">
      <c r="A54" s="19">
        <v>97</v>
      </c>
      <c r="B54" s="18">
        <v>156</v>
      </c>
      <c r="C54" s="17" t="s">
        <v>109</v>
      </c>
      <c r="D54" s="16" t="s">
        <v>83</v>
      </c>
      <c r="E54" s="20"/>
      <c r="F54" s="21" t="s">
        <v>152</v>
      </c>
      <c r="G54" s="10">
        <v>2.6</v>
      </c>
      <c r="H54" s="8">
        <v>1.7</v>
      </c>
      <c r="I54" s="10">
        <v>2.5333333333333301</v>
      </c>
      <c r="J54" s="8">
        <v>1.6</v>
      </c>
      <c r="K54" s="10">
        <v>2.6666666666666701</v>
      </c>
      <c r="L54" s="8">
        <v>1.8</v>
      </c>
      <c r="M54" s="3">
        <v>9.8986193766246195E-3</v>
      </c>
      <c r="N54" s="3">
        <v>0.351257237182584</v>
      </c>
      <c r="O54" s="3">
        <v>0.95307785199999995</v>
      </c>
      <c r="P54" s="10">
        <v>9.07</v>
      </c>
      <c r="Q54" s="8">
        <v>12.44</v>
      </c>
      <c r="R54" s="15">
        <v>3.37</v>
      </c>
      <c r="S54" s="10">
        <v>22.59</v>
      </c>
      <c r="T54" s="8">
        <v>37.0399999999999</v>
      </c>
      <c r="U54" s="24">
        <f t="shared" si="1"/>
        <v>0.60182061481741589</v>
      </c>
      <c r="V54" s="25"/>
    </row>
    <row r="55" spans="1:22">
      <c r="A55" s="19">
        <v>110</v>
      </c>
      <c r="B55" s="18">
        <v>156</v>
      </c>
      <c r="C55" s="17" t="s">
        <v>113</v>
      </c>
      <c r="D55" s="16" t="s">
        <v>83</v>
      </c>
      <c r="E55" s="19" t="s">
        <v>143</v>
      </c>
      <c r="F55" s="21" t="s">
        <v>152</v>
      </c>
      <c r="G55" s="10">
        <v>2.93333333333333</v>
      </c>
      <c r="H55" s="8">
        <v>1.7</v>
      </c>
      <c r="I55" s="10">
        <v>2.8666666666666698</v>
      </c>
      <c r="J55" s="8">
        <v>1.6</v>
      </c>
      <c r="K55" s="10">
        <v>3</v>
      </c>
      <c r="L55" s="8">
        <v>1.8</v>
      </c>
      <c r="M55" s="3">
        <v>4.3070806375333801E-5</v>
      </c>
      <c r="N55" s="3">
        <v>8.3113400203305198E-4</v>
      </c>
      <c r="O55" s="3">
        <v>5.5108659999999997E-2</v>
      </c>
      <c r="P55" s="10">
        <v>8.33</v>
      </c>
      <c r="Q55" s="8">
        <v>12.44</v>
      </c>
      <c r="R55" s="15">
        <v>4.1100000000000003</v>
      </c>
      <c r="S55" s="10">
        <v>27.719999999999899</v>
      </c>
      <c r="T55" s="8">
        <v>37.0399999999999</v>
      </c>
      <c r="U55" s="24">
        <f t="shared" si="1"/>
        <v>5.4277525997966945E-2</v>
      </c>
      <c r="V55" s="25"/>
    </row>
    <row r="56" spans="1:22">
      <c r="A56" s="19">
        <v>146</v>
      </c>
      <c r="B56" s="18">
        <v>156</v>
      </c>
      <c r="C56" s="17" t="s">
        <v>130</v>
      </c>
      <c r="D56" s="16" t="s">
        <v>83</v>
      </c>
      <c r="E56" s="19"/>
      <c r="F56" s="21" t="s">
        <v>152</v>
      </c>
      <c r="G56" s="10">
        <v>2.56666666666667</v>
      </c>
      <c r="H56" s="8">
        <v>1.7</v>
      </c>
      <c r="I56" s="10">
        <v>2.6666666666666701</v>
      </c>
      <c r="J56" s="8">
        <v>1.6</v>
      </c>
      <c r="K56" s="10">
        <v>2.4666666666666699</v>
      </c>
      <c r="L56" s="8">
        <v>1.8</v>
      </c>
      <c r="M56" s="3">
        <v>2.2961114856215901E-2</v>
      </c>
      <c r="N56" s="3">
        <v>5.1151233948413997E-2</v>
      </c>
      <c r="O56" s="3">
        <v>0.99999937500000002</v>
      </c>
      <c r="P56" s="10">
        <v>4.29</v>
      </c>
      <c r="Q56" s="8">
        <v>12.44</v>
      </c>
      <c r="R56" s="15">
        <v>8.16</v>
      </c>
      <c r="S56" s="10">
        <v>29.52</v>
      </c>
      <c r="T56" s="8">
        <v>37.0399999999999</v>
      </c>
      <c r="U56" s="24">
        <f t="shared" si="1"/>
        <v>0.94884814105158599</v>
      </c>
      <c r="V56" s="26"/>
    </row>
    <row r="57" spans="1:22">
      <c r="A57" s="19">
        <v>149</v>
      </c>
      <c r="B57" s="18">
        <v>156</v>
      </c>
      <c r="C57" s="17" t="s">
        <v>117</v>
      </c>
      <c r="D57" s="16" t="s">
        <v>83</v>
      </c>
      <c r="E57" s="20"/>
      <c r="F57" s="21" t="s">
        <v>152</v>
      </c>
      <c r="G57" s="10">
        <v>2.7333333333333298</v>
      </c>
      <c r="H57" s="8">
        <v>1.7</v>
      </c>
      <c r="I57" s="10">
        <v>2.7333333333333298</v>
      </c>
      <c r="J57" s="8">
        <v>1.6</v>
      </c>
      <c r="K57" s="10">
        <v>2.7333333333333298</v>
      </c>
      <c r="L57" s="8">
        <v>1.8</v>
      </c>
      <c r="M57" s="3">
        <v>2.2989784407712001E-4</v>
      </c>
      <c r="N57" s="3">
        <v>1.47919275934646E-2</v>
      </c>
      <c r="O57" s="3">
        <v>0.80581418199999999</v>
      </c>
      <c r="P57" s="10">
        <v>10.86</v>
      </c>
      <c r="Q57" s="8">
        <v>12.44</v>
      </c>
      <c r="R57" s="15">
        <v>1.59</v>
      </c>
      <c r="S57" s="10">
        <v>27.78</v>
      </c>
      <c r="T57" s="8">
        <v>37.0399999999999</v>
      </c>
      <c r="U57" s="24">
        <f t="shared" si="1"/>
        <v>0.7910222544065354</v>
      </c>
      <c r="V57" s="25"/>
    </row>
    <row r="58" spans="1:22">
      <c r="A58" s="19">
        <v>82</v>
      </c>
      <c r="B58" s="18">
        <v>157</v>
      </c>
      <c r="C58" s="17" t="s">
        <v>93</v>
      </c>
      <c r="D58" s="16" t="s">
        <v>104</v>
      </c>
      <c r="E58" s="20"/>
      <c r="F58" s="21" t="s">
        <v>162</v>
      </c>
      <c r="G58" s="10">
        <v>2.8333333333333299</v>
      </c>
      <c r="H58" s="8">
        <v>1.9666666666666699</v>
      </c>
      <c r="I58" s="10">
        <v>3.06666666666667</v>
      </c>
      <c r="J58" s="8">
        <v>1.93333333333333</v>
      </c>
      <c r="K58" s="10">
        <v>2.6</v>
      </c>
      <c r="L58" s="8">
        <v>2</v>
      </c>
      <c r="M58" s="3">
        <v>2.2961114856215301E-2</v>
      </c>
      <c r="N58" s="3">
        <v>1.47919275934646E-2</v>
      </c>
      <c r="O58" s="3">
        <v>1</v>
      </c>
      <c r="P58" s="10">
        <v>2.29</v>
      </c>
      <c r="Q58" s="8">
        <v>5.92</v>
      </c>
      <c r="R58" s="15">
        <v>3.63</v>
      </c>
      <c r="S58" s="10">
        <v>25.19</v>
      </c>
      <c r="T58" s="8">
        <v>45.7</v>
      </c>
      <c r="U58" s="24">
        <f t="shared" si="1"/>
        <v>0.98520807240653541</v>
      </c>
      <c r="V58" s="25"/>
    </row>
    <row r="59" spans="1:22">
      <c r="A59" s="18">
        <v>118</v>
      </c>
      <c r="B59" s="19">
        <v>160</v>
      </c>
      <c r="C59" s="16" t="s">
        <v>81</v>
      </c>
      <c r="D59" s="17" t="s">
        <v>118</v>
      </c>
      <c r="E59" s="18" t="s">
        <v>137</v>
      </c>
      <c r="F59" s="20"/>
      <c r="G59" s="8">
        <v>1.7333333333333301</v>
      </c>
      <c r="H59" s="10">
        <v>2.6666666666666701</v>
      </c>
      <c r="I59" s="8">
        <v>1.7333333333333301</v>
      </c>
      <c r="J59" s="10">
        <v>2.6</v>
      </c>
      <c r="K59" s="8">
        <v>1.7333333333333301</v>
      </c>
      <c r="L59" s="10">
        <v>2.7333333333333298</v>
      </c>
      <c r="M59" s="3">
        <v>4.0351067522509396E-3</v>
      </c>
      <c r="N59" s="3">
        <v>0.64124722310169302</v>
      </c>
      <c r="O59" s="3">
        <v>0.55730515400000002</v>
      </c>
      <c r="P59" s="8">
        <v>16.95</v>
      </c>
      <c r="Q59" s="10">
        <v>9.44</v>
      </c>
      <c r="R59" s="15">
        <v>7.51</v>
      </c>
      <c r="S59" s="8">
        <v>39.74</v>
      </c>
      <c r="T59" s="10">
        <v>37.64</v>
      </c>
      <c r="U59" s="24">
        <f t="shared" si="1"/>
        <v>8.3942069101692995E-2</v>
      </c>
      <c r="V59" s="25"/>
    </row>
    <row r="60" spans="1:22">
      <c r="A60" s="18">
        <v>71</v>
      </c>
      <c r="B60" s="19">
        <v>164</v>
      </c>
      <c r="C60" s="16" t="s">
        <v>95</v>
      </c>
      <c r="D60" s="17" t="s">
        <v>97</v>
      </c>
      <c r="E60" s="21"/>
      <c r="F60" s="20"/>
      <c r="G60" s="8">
        <v>2.2000000000000002</v>
      </c>
      <c r="H60" s="10">
        <v>3.3333333333333299</v>
      </c>
      <c r="I60" s="8">
        <v>2.06666666666667</v>
      </c>
      <c r="J60" s="10">
        <v>3.2666666666666702</v>
      </c>
      <c r="K60" s="8">
        <v>2.3333333333333299</v>
      </c>
      <c r="L60" s="10">
        <v>3.4</v>
      </c>
      <c r="M60" s="3">
        <v>4.8339700879584898E-5</v>
      </c>
      <c r="N60" s="3">
        <v>3.70584180821987E-3</v>
      </c>
      <c r="O60" s="3">
        <v>0.30999542499999999</v>
      </c>
      <c r="P60" s="8">
        <v>31.11</v>
      </c>
      <c r="Q60" s="10">
        <v>23.33</v>
      </c>
      <c r="R60" s="8">
        <v>7.78</v>
      </c>
      <c r="S60" s="8">
        <v>24.91</v>
      </c>
      <c r="T60" s="10">
        <v>21.3599999999999</v>
      </c>
      <c r="U60" s="24">
        <f t="shared" si="1"/>
        <v>0.30628958319178012</v>
      </c>
      <c r="V60" s="25"/>
    </row>
    <row r="61" spans="1:22">
      <c r="A61" s="18">
        <v>100</v>
      </c>
      <c r="B61" s="19">
        <v>164</v>
      </c>
      <c r="C61" s="16" t="s">
        <v>110</v>
      </c>
      <c r="D61" s="17" t="s">
        <v>97</v>
      </c>
      <c r="E61" s="23"/>
      <c r="F61" s="20"/>
      <c r="G61" s="8">
        <v>2.1333333333333302</v>
      </c>
      <c r="H61" s="10">
        <v>3.3333333333333299</v>
      </c>
      <c r="I61" s="8">
        <v>2.2000000000000002</v>
      </c>
      <c r="J61" s="10">
        <v>3.2666666666666702</v>
      </c>
      <c r="K61" s="8">
        <v>2.06666666666667</v>
      </c>
      <c r="L61" s="10">
        <v>3.4</v>
      </c>
      <c r="M61" s="3">
        <v>4.3362988571993298E-5</v>
      </c>
      <c r="N61" s="3">
        <v>5.1151233948413997E-2</v>
      </c>
      <c r="O61" s="3">
        <v>5.6419549999999997E-3</v>
      </c>
      <c r="P61" s="8">
        <v>26.11</v>
      </c>
      <c r="Q61" s="10">
        <v>23.33</v>
      </c>
      <c r="R61" s="15">
        <v>2.78</v>
      </c>
      <c r="S61" s="8">
        <v>21.8</v>
      </c>
      <c r="T61" s="10">
        <v>21.3599999999999</v>
      </c>
      <c r="U61" s="24">
        <f t="shared" si="1"/>
        <v>4.5509278948414E-2</v>
      </c>
      <c r="V61" s="25"/>
    </row>
    <row r="62" spans="1:22">
      <c r="A62" s="18">
        <v>17</v>
      </c>
      <c r="B62" s="19">
        <v>167</v>
      </c>
      <c r="C62" s="16" t="s">
        <v>68</v>
      </c>
      <c r="D62" s="17" t="s">
        <v>71</v>
      </c>
      <c r="E62" s="21"/>
      <c r="F62" s="20"/>
      <c r="G62" s="8">
        <v>1.3333333333333299</v>
      </c>
      <c r="H62" s="10">
        <v>2.2333333333333298</v>
      </c>
      <c r="I62" s="8">
        <v>1.2</v>
      </c>
      <c r="J62" s="10">
        <v>1.93333333333333</v>
      </c>
      <c r="K62" s="8">
        <v>1.4666666666666699</v>
      </c>
      <c r="L62" s="10">
        <v>2.5333333333333301</v>
      </c>
      <c r="M62" s="3">
        <v>9.8986193766246195E-3</v>
      </c>
      <c r="N62" s="3">
        <v>0.98581047760896201</v>
      </c>
      <c r="O62" s="3">
        <v>0.30999542499999999</v>
      </c>
      <c r="P62" s="8">
        <v>17.87</v>
      </c>
      <c r="Q62" s="10">
        <v>15.81</v>
      </c>
      <c r="R62" s="8">
        <v>2.06</v>
      </c>
      <c r="S62" s="8">
        <v>13.77</v>
      </c>
      <c r="T62" s="10">
        <v>12.92</v>
      </c>
      <c r="U62" s="24">
        <f t="shared" si="1"/>
        <v>0.67581505260896202</v>
      </c>
      <c r="V62" s="26"/>
    </row>
    <row r="63" spans="1:22">
      <c r="A63" s="18">
        <v>28</v>
      </c>
      <c r="B63" s="19">
        <v>167</v>
      </c>
      <c r="C63" s="16" t="s">
        <v>72</v>
      </c>
      <c r="D63" s="17" t="s">
        <v>71</v>
      </c>
      <c r="E63" s="21"/>
      <c r="F63" s="20"/>
      <c r="G63" s="8">
        <v>1.36666666666667</v>
      </c>
      <c r="H63" s="10">
        <v>2.2333333333333298</v>
      </c>
      <c r="I63" s="8">
        <v>1.2</v>
      </c>
      <c r="J63" s="10">
        <v>1.93333333333333</v>
      </c>
      <c r="K63" s="8">
        <v>1.5333333333333301</v>
      </c>
      <c r="L63" s="10">
        <v>2.5333333333333301</v>
      </c>
      <c r="M63" s="3">
        <v>2.2961114856215398E-2</v>
      </c>
      <c r="N63" s="3">
        <v>0.98581047760896201</v>
      </c>
      <c r="O63" s="3">
        <v>0.55730515400000002</v>
      </c>
      <c r="P63" s="8">
        <v>18.57</v>
      </c>
      <c r="Q63" s="10">
        <v>15.81</v>
      </c>
      <c r="R63" s="8">
        <v>2.76</v>
      </c>
      <c r="S63" s="8">
        <v>14.5299999999999</v>
      </c>
      <c r="T63" s="10">
        <v>12.92</v>
      </c>
      <c r="U63" s="24">
        <f t="shared" si="1"/>
        <v>0.42850532360896199</v>
      </c>
      <c r="V63" s="25"/>
    </row>
    <row r="64" spans="1:22">
      <c r="A64" s="18">
        <v>50</v>
      </c>
      <c r="B64" s="19">
        <v>170</v>
      </c>
      <c r="C64" s="16" t="s">
        <v>75</v>
      </c>
      <c r="D64" s="17" t="s">
        <v>78</v>
      </c>
      <c r="E64" s="21"/>
      <c r="F64" s="20"/>
      <c r="G64" s="8">
        <v>1.2333333333333301</v>
      </c>
      <c r="H64" s="10">
        <v>2.1333333333333302</v>
      </c>
      <c r="I64" s="8">
        <v>1.2</v>
      </c>
      <c r="J64" s="10">
        <v>1.86666666666667</v>
      </c>
      <c r="K64" s="8">
        <v>1.2666666666666699</v>
      </c>
      <c r="L64" s="10">
        <v>2.4</v>
      </c>
      <c r="M64" s="3">
        <v>9.8986193766246195E-3</v>
      </c>
      <c r="N64" s="3">
        <v>0.99955975858591095</v>
      </c>
      <c r="O64" s="3">
        <v>0.141840877</v>
      </c>
      <c r="P64" s="8">
        <v>17.78</v>
      </c>
      <c r="Q64" s="10">
        <v>13.81</v>
      </c>
      <c r="R64" s="8">
        <v>3.97</v>
      </c>
      <c r="S64" s="8">
        <v>12.6099999999999</v>
      </c>
      <c r="T64" s="10">
        <v>12.17</v>
      </c>
      <c r="U64" s="24">
        <f t="shared" si="1"/>
        <v>0.85771888158591092</v>
      </c>
      <c r="V64" s="25"/>
    </row>
    <row r="65" spans="1:22">
      <c r="A65" s="18">
        <v>118</v>
      </c>
      <c r="B65" s="19">
        <v>173</v>
      </c>
      <c r="C65" s="16" t="s">
        <v>81</v>
      </c>
      <c r="D65" s="17" t="s">
        <v>119</v>
      </c>
      <c r="E65" s="18" t="s">
        <v>137</v>
      </c>
      <c r="F65" s="20" t="s">
        <v>163</v>
      </c>
      <c r="G65" s="8">
        <v>1.7333333333333301</v>
      </c>
      <c r="H65" s="10">
        <v>2.7333333333333298</v>
      </c>
      <c r="I65" s="8">
        <v>1.7333333333333301</v>
      </c>
      <c r="J65" s="10">
        <v>2.6</v>
      </c>
      <c r="K65" s="8">
        <v>1.7333333333333301</v>
      </c>
      <c r="L65" s="10">
        <v>2.8666666666666698</v>
      </c>
      <c r="M65" s="3">
        <v>5.9218329874699603E-4</v>
      </c>
      <c r="N65" s="3">
        <v>0.64124722310169302</v>
      </c>
      <c r="O65" s="3">
        <v>0.141840877</v>
      </c>
      <c r="P65" s="8">
        <v>16.95</v>
      </c>
      <c r="Q65" s="10">
        <v>7.59</v>
      </c>
      <c r="R65" s="15">
        <v>9.36</v>
      </c>
      <c r="S65" s="8">
        <v>39.74</v>
      </c>
      <c r="T65" s="10">
        <v>30.96</v>
      </c>
      <c r="U65" s="24">
        <f t="shared" si="1"/>
        <v>0.49940634610169299</v>
      </c>
      <c r="V65" s="25"/>
    </row>
    <row r="66" spans="1:22">
      <c r="A66" s="18">
        <v>156</v>
      </c>
      <c r="B66" s="19">
        <v>173</v>
      </c>
      <c r="C66" s="16" t="s">
        <v>83</v>
      </c>
      <c r="D66" s="17" t="s">
        <v>119</v>
      </c>
      <c r="E66" s="18" t="s">
        <v>152</v>
      </c>
      <c r="F66" s="20" t="s">
        <v>163</v>
      </c>
      <c r="G66" s="8">
        <v>1.7</v>
      </c>
      <c r="H66" s="10">
        <v>2.7333333333333298</v>
      </c>
      <c r="I66" s="8">
        <v>1.6</v>
      </c>
      <c r="J66" s="10">
        <v>2.6</v>
      </c>
      <c r="K66" s="8">
        <v>1.8</v>
      </c>
      <c r="L66" s="10">
        <v>2.8666666666666698</v>
      </c>
      <c r="M66" s="3">
        <v>2.2989784407712001E-4</v>
      </c>
      <c r="N66" s="3">
        <v>0.14895920324053599</v>
      </c>
      <c r="O66" s="3">
        <v>0.30999542499999999</v>
      </c>
      <c r="P66" s="8">
        <v>12.44</v>
      </c>
      <c r="Q66" s="10">
        <v>7.59</v>
      </c>
      <c r="R66" s="15">
        <v>4.8499999999999996</v>
      </c>
      <c r="S66" s="8">
        <v>37.0399999999999</v>
      </c>
      <c r="T66" s="10">
        <v>30.96</v>
      </c>
      <c r="U66" s="24">
        <f t="shared" si="1"/>
        <v>0.161036221759464</v>
      </c>
      <c r="V66" s="26"/>
    </row>
    <row r="67" spans="1:22">
      <c r="A67" s="18">
        <v>118</v>
      </c>
      <c r="B67" s="19">
        <v>174</v>
      </c>
      <c r="C67" s="16" t="s">
        <v>81</v>
      </c>
      <c r="D67" s="17" t="s">
        <v>120</v>
      </c>
      <c r="E67" s="18" t="s">
        <v>137</v>
      </c>
      <c r="F67" s="20" t="s">
        <v>164</v>
      </c>
      <c r="G67" s="8">
        <v>1.7333333333333301</v>
      </c>
      <c r="H67" s="10">
        <v>2.6333333333333302</v>
      </c>
      <c r="I67" s="8">
        <v>1.7333333333333301</v>
      </c>
      <c r="J67" s="10">
        <v>2.4666666666666699</v>
      </c>
      <c r="K67" s="8">
        <v>1.7333333333333301</v>
      </c>
      <c r="L67" s="10">
        <v>2.8</v>
      </c>
      <c r="M67" s="3">
        <v>9.8986193766246195E-3</v>
      </c>
      <c r="N67" s="3">
        <v>0.98581047760896201</v>
      </c>
      <c r="O67" s="3">
        <v>0.30999542499999999</v>
      </c>
      <c r="P67" s="8">
        <v>16.95</v>
      </c>
      <c r="Q67" s="10">
        <v>9.31</v>
      </c>
      <c r="R67" s="15">
        <v>7.65</v>
      </c>
      <c r="S67" s="8">
        <v>39.74</v>
      </c>
      <c r="T67" s="10">
        <v>30.559999999999899</v>
      </c>
      <c r="U67" s="24">
        <f t="shared" si="1"/>
        <v>0.67581505260896202</v>
      </c>
      <c r="V67" s="26"/>
    </row>
    <row r="68" spans="1:22">
      <c r="A68" s="18">
        <v>156</v>
      </c>
      <c r="B68" s="19">
        <v>174</v>
      </c>
      <c r="C68" s="16" t="s">
        <v>83</v>
      </c>
      <c r="D68" s="17" t="s">
        <v>120</v>
      </c>
      <c r="E68" s="18" t="s">
        <v>152</v>
      </c>
      <c r="F68" s="20" t="s">
        <v>164</v>
      </c>
      <c r="G68" s="8">
        <v>1.7</v>
      </c>
      <c r="H68" s="10">
        <v>2.6333333333333302</v>
      </c>
      <c r="I68" s="8">
        <v>1.6</v>
      </c>
      <c r="J68" s="10">
        <v>2.4666666666666699</v>
      </c>
      <c r="K68" s="8">
        <v>1.8</v>
      </c>
      <c r="L68" s="10">
        <v>2.8</v>
      </c>
      <c r="M68" s="3">
        <v>4.0351067522509396E-3</v>
      </c>
      <c r="N68" s="3">
        <v>0.64124722310169302</v>
      </c>
      <c r="O68" s="3">
        <v>0.55730515400000002</v>
      </c>
      <c r="P68" s="8">
        <v>12.44</v>
      </c>
      <c r="Q68" s="10">
        <v>9.31</v>
      </c>
      <c r="R68" s="15">
        <v>3.14</v>
      </c>
      <c r="S68" s="8">
        <v>37.0399999999999</v>
      </c>
      <c r="T68" s="10">
        <v>30.559999999999899</v>
      </c>
      <c r="U68" s="24">
        <f t="shared" si="1"/>
        <v>8.3942069101692995E-2</v>
      </c>
      <c r="V68" s="26"/>
    </row>
    <row r="69" spans="1:22">
      <c r="A69" s="18">
        <v>119</v>
      </c>
      <c r="B69" s="19">
        <v>175</v>
      </c>
      <c r="C69" s="16" t="s">
        <v>88</v>
      </c>
      <c r="D69" s="17" t="s">
        <v>124</v>
      </c>
      <c r="E69" s="18" t="s">
        <v>147</v>
      </c>
      <c r="F69" s="20" t="s">
        <v>165</v>
      </c>
      <c r="G69" s="8">
        <v>2.6</v>
      </c>
      <c r="H69" s="10">
        <v>3.5</v>
      </c>
      <c r="I69" s="8">
        <v>2.6</v>
      </c>
      <c r="J69" s="10">
        <v>3.5333333333333301</v>
      </c>
      <c r="K69" s="8">
        <v>2.6</v>
      </c>
      <c r="L69" s="10">
        <v>3.4666666666666699</v>
      </c>
      <c r="M69" s="3">
        <v>9.8986193766247305E-3</v>
      </c>
      <c r="N69" s="3">
        <v>0.351257237182584</v>
      </c>
      <c r="O69" s="3">
        <v>0.95307785199999995</v>
      </c>
      <c r="P69" s="8">
        <v>46.67</v>
      </c>
      <c r="Q69" s="10">
        <v>30.56</v>
      </c>
      <c r="R69" s="15">
        <v>16.11</v>
      </c>
      <c r="S69" s="8">
        <v>38.759999999999899</v>
      </c>
      <c r="T69" s="10">
        <v>29.91</v>
      </c>
      <c r="U69" s="24">
        <f t="shared" ref="U69:U100" si="2">ABS(N69-O69)</f>
        <v>0.60182061481741589</v>
      </c>
      <c r="V69" s="26"/>
    </row>
    <row r="70" spans="1:22">
      <c r="A70" s="18">
        <v>118</v>
      </c>
      <c r="B70" s="19">
        <v>184</v>
      </c>
      <c r="C70" s="16" t="s">
        <v>81</v>
      </c>
      <c r="D70" s="17" t="s">
        <v>121</v>
      </c>
      <c r="E70" s="18" t="s">
        <v>137</v>
      </c>
      <c r="F70" s="20" t="s">
        <v>155</v>
      </c>
      <c r="G70" s="8">
        <v>1.7333333333333301</v>
      </c>
      <c r="H70" s="10">
        <v>3.1333333333333302</v>
      </c>
      <c r="I70" s="8">
        <v>1.7333333333333301</v>
      </c>
      <c r="J70" s="10">
        <v>2.8666666666666698</v>
      </c>
      <c r="K70" s="8">
        <v>1.7333333333333301</v>
      </c>
      <c r="L70" s="10">
        <v>3.4</v>
      </c>
      <c r="M70" s="3">
        <v>4.2974083626745603E-5</v>
      </c>
      <c r="N70" s="3">
        <v>1.47919275934646E-2</v>
      </c>
      <c r="O70" s="3">
        <v>4.57E-5</v>
      </c>
      <c r="P70" s="8">
        <v>16.95</v>
      </c>
      <c r="Q70" s="10">
        <v>12.96</v>
      </c>
      <c r="R70" s="15">
        <v>3.99</v>
      </c>
      <c r="S70" s="8">
        <v>39.74</v>
      </c>
      <c r="T70" s="10">
        <v>34.130000000000003</v>
      </c>
      <c r="U70" s="24">
        <f t="shared" si="2"/>
        <v>1.4746227593464601E-2</v>
      </c>
      <c r="V70" s="26"/>
    </row>
    <row r="71" spans="1:22">
      <c r="A71" s="19">
        <v>140</v>
      </c>
      <c r="B71" s="18">
        <v>186</v>
      </c>
      <c r="C71" s="17" t="s">
        <v>111</v>
      </c>
      <c r="D71" s="16" t="s">
        <v>128</v>
      </c>
      <c r="E71" s="19" t="s">
        <v>149</v>
      </c>
      <c r="F71" s="21"/>
      <c r="G71" s="10">
        <v>3</v>
      </c>
      <c r="H71" s="8">
        <v>2.0333333333333301</v>
      </c>
      <c r="I71" s="10">
        <v>2.8666666666666698</v>
      </c>
      <c r="J71" s="8">
        <v>2</v>
      </c>
      <c r="K71" s="10">
        <v>3.1333333333333302</v>
      </c>
      <c r="L71" s="8">
        <v>2.06666666666667</v>
      </c>
      <c r="M71" s="3">
        <v>1.5676441311247599E-3</v>
      </c>
      <c r="N71" s="3">
        <v>0.64124722310169302</v>
      </c>
      <c r="O71" s="3">
        <v>0.30999542499999999</v>
      </c>
      <c r="P71" s="10">
        <v>20</v>
      </c>
      <c r="Q71" s="8">
        <v>23.33</v>
      </c>
      <c r="R71" s="15">
        <v>3.33</v>
      </c>
      <c r="S71" s="10">
        <v>16.6099999999999</v>
      </c>
      <c r="T71" s="8">
        <v>19.02</v>
      </c>
      <c r="U71" s="24">
        <f t="shared" si="2"/>
        <v>0.33125179810169303</v>
      </c>
      <c r="V71" s="26"/>
    </row>
    <row r="72" spans="1:22">
      <c r="A72" s="19">
        <v>59</v>
      </c>
      <c r="B72" s="18">
        <v>188</v>
      </c>
      <c r="C72" s="17" t="s">
        <v>80</v>
      </c>
      <c r="D72" s="16" t="s">
        <v>84</v>
      </c>
      <c r="E72" s="19" t="s">
        <v>138</v>
      </c>
      <c r="F72" s="21"/>
      <c r="G72" s="10">
        <v>2.6666666666666701</v>
      </c>
      <c r="H72" s="8">
        <v>1.7666666666666699</v>
      </c>
      <c r="I72" s="10">
        <v>2.1333333333333302</v>
      </c>
      <c r="J72" s="8">
        <v>1.8</v>
      </c>
      <c r="K72" s="10">
        <v>3.2</v>
      </c>
      <c r="L72" s="8">
        <v>1.7333333333333301</v>
      </c>
      <c r="M72" s="3">
        <v>9.8986193766246195E-3</v>
      </c>
      <c r="N72" s="3">
        <v>1</v>
      </c>
      <c r="O72" s="3">
        <v>4.0354099999999999E-4</v>
      </c>
      <c r="P72" s="10">
        <v>6.67</v>
      </c>
      <c r="Q72" s="8">
        <v>22.86</v>
      </c>
      <c r="R72" s="8">
        <v>16.190000000000001</v>
      </c>
      <c r="S72" s="10">
        <v>16.260000000000002</v>
      </c>
      <c r="T72" s="8">
        <v>18.3599999999999</v>
      </c>
      <c r="U72" s="24">
        <f t="shared" si="2"/>
        <v>0.99959645900000005</v>
      </c>
      <c r="V72" s="26"/>
    </row>
    <row r="73" spans="1:22">
      <c r="A73" s="19">
        <v>138</v>
      </c>
      <c r="B73" s="18">
        <v>188</v>
      </c>
      <c r="C73" s="17" t="s">
        <v>127</v>
      </c>
      <c r="D73" s="16" t="s">
        <v>84</v>
      </c>
      <c r="E73" s="19" t="s">
        <v>148</v>
      </c>
      <c r="F73" s="21"/>
      <c r="G73" s="10">
        <v>2.8</v>
      </c>
      <c r="H73" s="8">
        <v>1.7666666666666699</v>
      </c>
      <c r="I73" s="10">
        <v>2.6</v>
      </c>
      <c r="J73" s="8">
        <v>1.8</v>
      </c>
      <c r="K73" s="10">
        <v>3</v>
      </c>
      <c r="L73" s="8">
        <v>1.7333333333333301</v>
      </c>
      <c r="M73" s="3">
        <v>2.2989784407712001E-4</v>
      </c>
      <c r="N73" s="3">
        <v>0.88723009779232997</v>
      </c>
      <c r="O73" s="3">
        <v>1.8684570000000001E-2</v>
      </c>
      <c r="P73" s="10">
        <v>19.72</v>
      </c>
      <c r="Q73" s="8">
        <v>22.86</v>
      </c>
      <c r="R73" s="15">
        <v>3.13</v>
      </c>
      <c r="S73" s="10">
        <v>17.16</v>
      </c>
      <c r="T73" s="8">
        <v>18.3599999999999</v>
      </c>
      <c r="U73" s="24">
        <f t="shared" si="2"/>
        <v>0.86854552779232996</v>
      </c>
      <c r="V73" s="25"/>
    </row>
    <row r="74" spans="1:22">
      <c r="A74" s="19">
        <v>140</v>
      </c>
      <c r="B74" s="18">
        <v>188</v>
      </c>
      <c r="C74" s="17" t="s">
        <v>111</v>
      </c>
      <c r="D74" s="16" t="s">
        <v>84</v>
      </c>
      <c r="E74" s="19" t="s">
        <v>149</v>
      </c>
      <c r="F74" s="21"/>
      <c r="G74" s="10">
        <v>3</v>
      </c>
      <c r="H74" s="8">
        <v>1.7666666666666699</v>
      </c>
      <c r="I74" s="10">
        <v>2.8666666666666698</v>
      </c>
      <c r="J74" s="8">
        <v>1.8</v>
      </c>
      <c r="K74" s="10">
        <v>3.1333333333333302</v>
      </c>
      <c r="L74" s="8">
        <v>1.7333333333333301</v>
      </c>
      <c r="M74" s="3">
        <v>4.3070806375333801E-5</v>
      </c>
      <c r="N74" s="3">
        <v>5.1151233948413997E-2</v>
      </c>
      <c r="O74" s="3">
        <v>1.5452179999999999E-3</v>
      </c>
      <c r="P74" s="10">
        <v>20</v>
      </c>
      <c r="Q74" s="8">
        <v>22.86</v>
      </c>
      <c r="R74" s="15">
        <v>2.86</v>
      </c>
      <c r="S74" s="10">
        <v>16.6099999999999</v>
      </c>
      <c r="T74" s="8">
        <v>18.3599999999999</v>
      </c>
      <c r="U74" s="24">
        <f t="shared" si="2"/>
        <v>4.9606015948413996E-2</v>
      </c>
      <c r="V74" s="26"/>
    </row>
    <row r="75" spans="1:22">
      <c r="A75" s="19">
        <v>49</v>
      </c>
      <c r="B75" s="18">
        <v>191</v>
      </c>
      <c r="C75" s="17" t="s">
        <v>70</v>
      </c>
      <c r="D75" s="16" t="s">
        <v>76</v>
      </c>
      <c r="E75" s="20"/>
      <c r="F75" s="21"/>
      <c r="G75" s="10">
        <v>2.3666666666666698</v>
      </c>
      <c r="H75" s="8">
        <v>1.4</v>
      </c>
      <c r="I75" s="10">
        <v>2.1333333333333302</v>
      </c>
      <c r="J75" s="8">
        <v>1.2666666666666699</v>
      </c>
      <c r="K75" s="10">
        <v>2.6</v>
      </c>
      <c r="L75" s="8">
        <v>1.5333333333333301</v>
      </c>
      <c r="M75" s="3">
        <v>1.5676441311247599E-3</v>
      </c>
      <c r="N75" s="3">
        <v>0.64124722310169302</v>
      </c>
      <c r="O75" s="3">
        <v>0.30999542499999999</v>
      </c>
      <c r="P75" s="10">
        <v>14.17</v>
      </c>
      <c r="Q75" s="8">
        <v>16</v>
      </c>
      <c r="R75" s="8">
        <v>1.83</v>
      </c>
      <c r="S75" s="10">
        <v>12.31</v>
      </c>
      <c r="T75" s="8">
        <v>12.31</v>
      </c>
      <c r="U75" s="24">
        <f t="shared" si="2"/>
        <v>0.33125179810169303</v>
      </c>
      <c r="V75" s="26"/>
    </row>
    <row r="76" spans="1:22">
      <c r="A76" s="19">
        <v>67</v>
      </c>
      <c r="B76" s="18">
        <v>192</v>
      </c>
      <c r="C76" s="17" t="s">
        <v>87</v>
      </c>
      <c r="D76" s="16" t="s">
        <v>89</v>
      </c>
      <c r="E76" s="19" t="s">
        <v>139</v>
      </c>
      <c r="F76" s="21"/>
      <c r="G76" s="10">
        <v>3.5333333333333301</v>
      </c>
      <c r="H76" s="8">
        <v>2.2000000000000002</v>
      </c>
      <c r="I76" s="10">
        <v>3.4666666666666699</v>
      </c>
      <c r="J76" s="8">
        <v>2.2666666666666702</v>
      </c>
      <c r="K76" s="10">
        <v>3.6</v>
      </c>
      <c r="L76" s="8">
        <v>2.1333333333333302</v>
      </c>
      <c r="M76" s="3">
        <v>4.2975114655785498E-5</v>
      </c>
      <c r="N76" s="3">
        <v>3.70584180821987E-3</v>
      </c>
      <c r="O76" s="3">
        <v>4.0354099999999999E-4</v>
      </c>
      <c r="P76" s="10">
        <v>31.11</v>
      </c>
      <c r="Q76" s="8">
        <v>46.67</v>
      </c>
      <c r="R76" s="8">
        <v>15.56</v>
      </c>
      <c r="S76" s="10">
        <v>26.829999999999899</v>
      </c>
      <c r="T76" s="8">
        <v>36.079999999999899</v>
      </c>
      <c r="U76" s="24">
        <f t="shared" si="2"/>
        <v>3.3023008082198701E-3</v>
      </c>
      <c r="V76" s="26"/>
    </row>
    <row r="77" spans="1:22">
      <c r="A77" s="19">
        <v>90</v>
      </c>
      <c r="B77" s="18">
        <v>192</v>
      </c>
      <c r="C77" s="17" t="s">
        <v>96</v>
      </c>
      <c r="D77" s="16" t="s">
        <v>89</v>
      </c>
      <c r="E77" s="19" t="s">
        <v>142</v>
      </c>
      <c r="F77" s="21"/>
      <c r="G77" s="10">
        <v>3.1</v>
      </c>
      <c r="H77" s="8">
        <v>2.2000000000000002</v>
      </c>
      <c r="I77" s="10">
        <v>3</v>
      </c>
      <c r="J77" s="8">
        <v>2.2666666666666702</v>
      </c>
      <c r="K77" s="10">
        <v>3.2</v>
      </c>
      <c r="L77" s="8">
        <v>2.1333333333333302</v>
      </c>
      <c r="M77" s="3">
        <v>9.8986193766246195E-3</v>
      </c>
      <c r="N77" s="3">
        <v>0.98581047760896201</v>
      </c>
      <c r="O77" s="3">
        <v>0.30999542499999999</v>
      </c>
      <c r="P77" s="10">
        <v>25</v>
      </c>
      <c r="Q77" s="8">
        <v>46.67</v>
      </c>
      <c r="R77" s="15">
        <v>21.67</v>
      </c>
      <c r="S77" s="10">
        <v>23.25</v>
      </c>
      <c r="T77" s="8">
        <v>36.079999999999899</v>
      </c>
      <c r="U77" s="24">
        <f t="shared" si="2"/>
        <v>0.67581505260896202</v>
      </c>
      <c r="V77" s="26"/>
    </row>
    <row r="78" spans="1:22">
      <c r="A78" s="19">
        <v>135</v>
      </c>
      <c r="B78" s="18">
        <v>192</v>
      </c>
      <c r="C78" s="17" t="s">
        <v>126</v>
      </c>
      <c r="D78" s="16" t="s">
        <v>89</v>
      </c>
      <c r="E78" s="20"/>
      <c r="F78" s="21"/>
      <c r="G78" s="10">
        <v>3.1</v>
      </c>
      <c r="H78" s="8">
        <v>2.2000000000000002</v>
      </c>
      <c r="I78" s="10">
        <v>3.06666666666667</v>
      </c>
      <c r="J78" s="8">
        <v>2.2666666666666702</v>
      </c>
      <c r="K78" s="10">
        <v>3.1333333333333302</v>
      </c>
      <c r="L78" s="8">
        <v>2.1333333333333302</v>
      </c>
      <c r="M78" s="3">
        <v>9.8986193766246195E-3</v>
      </c>
      <c r="N78" s="3">
        <v>0.88723009779233197</v>
      </c>
      <c r="O78" s="3">
        <v>0.55730515400000002</v>
      </c>
      <c r="P78" s="10">
        <v>37.78</v>
      </c>
      <c r="Q78" s="8">
        <v>46.67</v>
      </c>
      <c r="R78" s="15">
        <v>8.89</v>
      </c>
      <c r="S78" s="10">
        <v>34.880000000000003</v>
      </c>
      <c r="T78" s="8">
        <v>36.079999999999899</v>
      </c>
      <c r="U78" s="24">
        <f t="shared" si="2"/>
        <v>0.32992494379233195</v>
      </c>
      <c r="V78" s="25"/>
    </row>
    <row r="79" spans="1:22">
      <c r="A79" s="19">
        <v>164</v>
      </c>
      <c r="B79" s="18">
        <v>192</v>
      </c>
      <c r="C79" s="17" t="s">
        <v>97</v>
      </c>
      <c r="D79" s="16" t="s">
        <v>89</v>
      </c>
      <c r="E79" s="20"/>
      <c r="F79" s="21"/>
      <c r="G79" s="10">
        <v>3.3333333333333299</v>
      </c>
      <c r="H79" s="8">
        <v>2.2000000000000002</v>
      </c>
      <c r="I79" s="10">
        <v>3.2666666666666702</v>
      </c>
      <c r="J79" s="8">
        <v>2.2666666666666702</v>
      </c>
      <c r="K79" s="10">
        <v>3.4</v>
      </c>
      <c r="L79" s="8">
        <v>2.1333333333333302</v>
      </c>
      <c r="M79" s="3">
        <v>4.8339700879584898E-5</v>
      </c>
      <c r="N79" s="3">
        <v>0.14895920324053599</v>
      </c>
      <c r="O79" s="3">
        <v>1.8684570000000001E-2</v>
      </c>
      <c r="P79" s="10">
        <v>23.33</v>
      </c>
      <c r="Q79" s="8">
        <v>46.67</v>
      </c>
      <c r="R79" s="15">
        <v>23.33</v>
      </c>
      <c r="S79" s="10">
        <v>21.3599999999999</v>
      </c>
      <c r="T79" s="8">
        <v>36.079999999999899</v>
      </c>
      <c r="U79" s="24">
        <f t="shared" si="2"/>
        <v>0.13027463324053598</v>
      </c>
      <c r="V79" s="25"/>
    </row>
    <row r="80" spans="1:22">
      <c r="A80" s="19">
        <v>172</v>
      </c>
      <c r="B80" s="18">
        <v>192</v>
      </c>
      <c r="C80" s="17" t="s">
        <v>132</v>
      </c>
      <c r="D80" s="16" t="s">
        <v>89</v>
      </c>
      <c r="E80" s="19" t="s">
        <v>153</v>
      </c>
      <c r="F80" s="21"/>
      <c r="G80" s="10">
        <v>3.2333333333333298</v>
      </c>
      <c r="H80" s="8">
        <v>2.2000000000000002</v>
      </c>
      <c r="I80" s="10">
        <v>3.3333333333333299</v>
      </c>
      <c r="J80" s="8">
        <v>2.2666666666666702</v>
      </c>
      <c r="K80" s="10">
        <v>3.1333333333333302</v>
      </c>
      <c r="L80" s="8">
        <v>2.1333333333333302</v>
      </c>
      <c r="M80" s="3">
        <v>2.2989784407712001E-4</v>
      </c>
      <c r="N80" s="3">
        <v>5.1151233948413997E-2</v>
      </c>
      <c r="O80" s="3">
        <v>0.55730515400000002</v>
      </c>
      <c r="P80" s="10">
        <v>35.56</v>
      </c>
      <c r="Q80" s="8">
        <v>46.67</v>
      </c>
      <c r="R80" s="15">
        <v>11.11</v>
      </c>
      <c r="S80" s="10">
        <v>31.71</v>
      </c>
      <c r="T80" s="8">
        <v>36.079999999999899</v>
      </c>
      <c r="U80" s="24">
        <f t="shared" si="2"/>
        <v>0.50615392005158599</v>
      </c>
      <c r="V80" s="26"/>
    </row>
    <row r="81" spans="1:22">
      <c r="A81" s="19">
        <v>175</v>
      </c>
      <c r="B81" s="18">
        <v>192</v>
      </c>
      <c r="C81" s="17" t="s">
        <v>124</v>
      </c>
      <c r="D81" s="16" t="s">
        <v>89</v>
      </c>
      <c r="E81" s="19" t="s">
        <v>154</v>
      </c>
      <c r="F81" s="21"/>
      <c r="G81" s="10">
        <v>3.5</v>
      </c>
      <c r="H81" s="8">
        <v>2.2000000000000002</v>
      </c>
      <c r="I81" s="10">
        <v>3.5333333333333301</v>
      </c>
      <c r="J81" s="8">
        <v>2.2666666666666702</v>
      </c>
      <c r="K81" s="10">
        <v>3.4666666666666699</v>
      </c>
      <c r="L81" s="8">
        <v>2.1333333333333302</v>
      </c>
      <c r="M81" s="3">
        <v>4.2979127263809201E-5</v>
      </c>
      <c r="N81" s="3">
        <v>8.3113400203305198E-4</v>
      </c>
      <c r="O81" s="3">
        <v>5.6419549999999997E-3</v>
      </c>
      <c r="P81" s="10">
        <v>30.56</v>
      </c>
      <c r="Q81" s="8">
        <v>46.67</v>
      </c>
      <c r="R81" s="15">
        <v>16.11</v>
      </c>
      <c r="S81" s="10">
        <v>29.91</v>
      </c>
      <c r="T81" s="8">
        <v>36.079999999999899</v>
      </c>
      <c r="U81" s="24">
        <f t="shared" si="2"/>
        <v>4.8108209979669473E-3</v>
      </c>
      <c r="V81" s="26"/>
    </row>
    <row r="82" spans="1:22">
      <c r="A82" s="19">
        <v>184</v>
      </c>
      <c r="B82" s="18">
        <v>192</v>
      </c>
      <c r="C82" s="17" t="s">
        <v>121</v>
      </c>
      <c r="D82" s="16" t="s">
        <v>89</v>
      </c>
      <c r="E82" s="19" t="s">
        <v>155</v>
      </c>
      <c r="F82" s="21"/>
      <c r="G82" s="10">
        <v>3.1333333333333302</v>
      </c>
      <c r="H82" s="8">
        <v>2.2000000000000002</v>
      </c>
      <c r="I82" s="10">
        <v>2.8666666666666698</v>
      </c>
      <c r="J82" s="8">
        <v>2.2666666666666702</v>
      </c>
      <c r="K82" s="10">
        <v>3.4</v>
      </c>
      <c r="L82" s="8">
        <v>2.1333333333333302</v>
      </c>
      <c r="M82" s="3">
        <v>4.0351067522509396E-3</v>
      </c>
      <c r="N82" s="3">
        <v>0.99999824420831995</v>
      </c>
      <c r="O82" s="3">
        <v>1.8684570000000001E-2</v>
      </c>
      <c r="P82" s="10">
        <v>12.96</v>
      </c>
      <c r="Q82" s="8">
        <v>46.67</v>
      </c>
      <c r="R82" s="15">
        <v>33.700000000000003</v>
      </c>
      <c r="S82" s="10">
        <v>34.130000000000003</v>
      </c>
      <c r="T82" s="8">
        <v>36.079999999999899</v>
      </c>
      <c r="U82" s="24">
        <f t="shared" si="2"/>
        <v>0.98131367420831994</v>
      </c>
      <c r="V82" s="25"/>
    </row>
    <row r="83" spans="1:22">
      <c r="A83" s="19">
        <v>82</v>
      </c>
      <c r="B83" s="18">
        <v>193</v>
      </c>
      <c r="C83" s="17" t="s">
        <v>93</v>
      </c>
      <c r="D83" s="16" t="s">
        <v>105</v>
      </c>
      <c r="E83" s="20"/>
      <c r="F83" s="21"/>
      <c r="G83" s="10">
        <v>2.8333333333333299</v>
      </c>
      <c r="H83" s="8">
        <v>1.9666666666666699</v>
      </c>
      <c r="I83" s="10">
        <v>3.06666666666667</v>
      </c>
      <c r="J83" s="8">
        <v>1.7333333333333301</v>
      </c>
      <c r="K83" s="10">
        <v>2.6</v>
      </c>
      <c r="L83" s="8">
        <v>2.2000000000000002</v>
      </c>
      <c r="M83" s="3">
        <v>2.2961114856215301E-2</v>
      </c>
      <c r="N83" s="3">
        <v>1.90457280800582E-4</v>
      </c>
      <c r="O83" s="3">
        <v>1</v>
      </c>
      <c r="P83" s="10">
        <v>2.29</v>
      </c>
      <c r="Q83" s="8">
        <v>6.17</v>
      </c>
      <c r="R83" s="15">
        <v>3.88</v>
      </c>
      <c r="S83" s="10">
        <v>25.19</v>
      </c>
      <c r="T83" s="8">
        <v>35.630000000000003</v>
      </c>
      <c r="U83" s="24">
        <f t="shared" si="2"/>
        <v>0.99980954271919942</v>
      </c>
      <c r="V83" s="26"/>
    </row>
    <row r="84" spans="1:22">
      <c r="A84" s="18">
        <v>192</v>
      </c>
      <c r="B84" s="19">
        <v>194</v>
      </c>
      <c r="C84" s="16" t="s">
        <v>89</v>
      </c>
      <c r="D84" s="17" t="s">
        <v>134</v>
      </c>
      <c r="E84" s="21"/>
      <c r="F84" s="20"/>
      <c r="G84" s="8">
        <v>2.2000000000000002</v>
      </c>
      <c r="H84" s="10">
        <v>3.06666666666667</v>
      </c>
      <c r="I84" s="8">
        <v>2.2666666666666702</v>
      </c>
      <c r="J84" s="10">
        <v>2.8</v>
      </c>
      <c r="K84" s="8">
        <v>2.1333333333333302</v>
      </c>
      <c r="L84" s="10">
        <v>3.3333333333333299</v>
      </c>
      <c r="M84" s="3">
        <v>2.2961114856215901E-2</v>
      </c>
      <c r="N84" s="3">
        <v>0.99999999961884101</v>
      </c>
      <c r="O84" s="3">
        <v>5.5108659999999997E-2</v>
      </c>
      <c r="P84" s="8">
        <v>46.67</v>
      </c>
      <c r="Q84" s="10">
        <v>40</v>
      </c>
      <c r="R84" s="15">
        <v>6.67</v>
      </c>
      <c r="S84" s="8">
        <v>36.079999999999899</v>
      </c>
      <c r="T84" s="10">
        <v>34.880000000000003</v>
      </c>
      <c r="U84" s="24">
        <f t="shared" si="2"/>
        <v>0.94489133961884098</v>
      </c>
      <c r="V84" s="26"/>
    </row>
    <row r="85" spans="1:22">
      <c r="A85" s="19">
        <v>59</v>
      </c>
      <c r="B85" s="18">
        <v>195</v>
      </c>
      <c r="C85" s="17" t="s">
        <v>80</v>
      </c>
      <c r="D85" s="16" t="s">
        <v>85</v>
      </c>
      <c r="E85" s="19" t="s">
        <v>138</v>
      </c>
      <c r="F85" s="21"/>
      <c r="G85" s="10">
        <v>2.6666666666666701</v>
      </c>
      <c r="H85" s="8">
        <v>1.56666666666667</v>
      </c>
      <c r="I85" s="10">
        <v>2.1333333333333302</v>
      </c>
      <c r="J85" s="8">
        <v>1.3333333333333299</v>
      </c>
      <c r="K85" s="10">
        <v>3.2</v>
      </c>
      <c r="L85" s="8">
        <v>1.8</v>
      </c>
      <c r="M85" s="3">
        <v>6.14226842371446E-5</v>
      </c>
      <c r="N85" s="3">
        <v>0.88723009779233197</v>
      </c>
      <c r="O85" s="3">
        <v>1.5452179999999999E-3</v>
      </c>
      <c r="P85" s="10">
        <v>6.67</v>
      </c>
      <c r="Q85" s="8">
        <v>15.68</v>
      </c>
      <c r="R85" s="8">
        <v>9.02</v>
      </c>
      <c r="S85" s="10">
        <v>16.260000000000002</v>
      </c>
      <c r="T85" s="8">
        <v>23.78</v>
      </c>
      <c r="U85" s="24">
        <f t="shared" si="2"/>
        <v>0.88568487979233201</v>
      </c>
      <c r="V85" s="26"/>
    </row>
    <row r="86" spans="1:22">
      <c r="A86" s="19">
        <v>85</v>
      </c>
      <c r="B86" s="18">
        <v>195</v>
      </c>
      <c r="C86" s="17" t="s">
        <v>94</v>
      </c>
      <c r="D86" s="16" t="s">
        <v>85</v>
      </c>
      <c r="E86" s="20"/>
      <c r="F86" s="21"/>
      <c r="G86" s="10">
        <v>2.7666666666666702</v>
      </c>
      <c r="H86" s="8">
        <v>1.56666666666667</v>
      </c>
      <c r="I86" s="10">
        <v>2.8666666666666698</v>
      </c>
      <c r="J86" s="8">
        <v>1.3333333333333299</v>
      </c>
      <c r="K86" s="10">
        <v>2.6666666666666701</v>
      </c>
      <c r="L86" s="8">
        <v>1.8</v>
      </c>
      <c r="M86" s="3">
        <v>4.3362988571993298E-5</v>
      </c>
      <c r="N86" s="3">
        <v>4.3422582455932002E-5</v>
      </c>
      <c r="O86" s="3">
        <v>0.95299999999999996</v>
      </c>
      <c r="P86" s="10">
        <v>5.87</v>
      </c>
      <c r="Q86" s="8">
        <v>15.68</v>
      </c>
      <c r="R86" s="15">
        <v>9.81</v>
      </c>
      <c r="S86" s="10">
        <v>23.67</v>
      </c>
      <c r="T86" s="8">
        <v>23.78</v>
      </c>
      <c r="U86" s="24">
        <f t="shared" si="2"/>
        <v>0.95295657741754403</v>
      </c>
      <c r="V86" s="25"/>
    </row>
    <row r="87" spans="1:22">
      <c r="A87" s="19">
        <v>94</v>
      </c>
      <c r="B87" s="18">
        <v>195</v>
      </c>
      <c r="C87" s="17" t="s">
        <v>108</v>
      </c>
      <c r="D87" s="16" t="s">
        <v>85</v>
      </c>
      <c r="E87" s="20"/>
      <c r="F87" s="21"/>
      <c r="G87" s="10">
        <v>2.43333333333333</v>
      </c>
      <c r="H87" s="8">
        <v>1.56666666666667</v>
      </c>
      <c r="I87" s="10">
        <v>2.4</v>
      </c>
      <c r="J87" s="8">
        <v>1.3333333333333299</v>
      </c>
      <c r="K87" s="10">
        <v>2.4666666666666699</v>
      </c>
      <c r="L87" s="8">
        <v>1.8</v>
      </c>
      <c r="M87" s="3">
        <v>2.2961114856215301E-2</v>
      </c>
      <c r="N87" s="3">
        <v>5.1151233948413997E-2</v>
      </c>
      <c r="O87" s="3">
        <v>0.99999937500000002</v>
      </c>
      <c r="P87" s="10">
        <v>5.69</v>
      </c>
      <c r="Q87" s="8">
        <v>15.68</v>
      </c>
      <c r="R87" s="15">
        <v>9.99</v>
      </c>
      <c r="S87" s="10">
        <v>22.85</v>
      </c>
      <c r="T87" s="8">
        <v>23.78</v>
      </c>
      <c r="U87" s="24">
        <f t="shared" si="2"/>
        <v>0.94884814105158599</v>
      </c>
      <c r="V87" s="26"/>
    </row>
    <row r="88" spans="1:22">
      <c r="A88" s="19">
        <v>97</v>
      </c>
      <c r="B88" s="18">
        <v>195</v>
      </c>
      <c r="C88" s="17" t="s">
        <v>109</v>
      </c>
      <c r="D88" s="16" t="s">
        <v>85</v>
      </c>
      <c r="E88" s="20"/>
      <c r="F88" s="21"/>
      <c r="G88" s="10">
        <v>2.6</v>
      </c>
      <c r="H88" s="8">
        <v>1.56666666666667</v>
      </c>
      <c r="I88" s="10">
        <v>2.5333333333333301</v>
      </c>
      <c r="J88" s="8">
        <v>1.3333333333333299</v>
      </c>
      <c r="K88" s="10">
        <v>2.6666666666666701</v>
      </c>
      <c r="L88" s="8">
        <v>1.8</v>
      </c>
      <c r="M88" s="3">
        <v>2.2989784407712001E-4</v>
      </c>
      <c r="N88" s="3">
        <v>3.70584180821987E-3</v>
      </c>
      <c r="O88" s="3">
        <v>0.95307785199999995</v>
      </c>
      <c r="P88" s="10">
        <v>9.07</v>
      </c>
      <c r="Q88" s="8">
        <v>15.68</v>
      </c>
      <c r="R88" s="15">
        <v>6.61</v>
      </c>
      <c r="S88" s="10">
        <v>22.59</v>
      </c>
      <c r="T88" s="8">
        <v>23.78</v>
      </c>
      <c r="U88" s="24">
        <f t="shared" si="2"/>
        <v>0.94937201019178008</v>
      </c>
      <c r="V88" s="26"/>
    </row>
    <row r="89" spans="1:22">
      <c r="A89" s="19">
        <v>67</v>
      </c>
      <c r="B89" s="18">
        <v>199</v>
      </c>
      <c r="C89" s="17" t="s">
        <v>87</v>
      </c>
      <c r="D89" s="16" t="s">
        <v>90</v>
      </c>
      <c r="E89" s="19" t="s">
        <v>139</v>
      </c>
      <c r="F89" s="21"/>
      <c r="G89" s="10">
        <v>3.5333333333333301</v>
      </c>
      <c r="H89" s="8">
        <v>2</v>
      </c>
      <c r="I89" s="10">
        <v>3.4666666666666699</v>
      </c>
      <c r="J89" s="8">
        <v>1.93333333333333</v>
      </c>
      <c r="K89" s="10">
        <v>3.6</v>
      </c>
      <c r="L89" s="8">
        <v>2.06666666666667</v>
      </c>
      <c r="M89" s="3">
        <v>4.2974043718224698E-5</v>
      </c>
      <c r="N89" s="3">
        <v>4.3422582455932002E-5</v>
      </c>
      <c r="O89" s="3">
        <v>1.21E-4</v>
      </c>
      <c r="P89" s="10">
        <v>31.11</v>
      </c>
      <c r="Q89" s="8">
        <v>39.049999999999997</v>
      </c>
      <c r="R89" s="8">
        <v>7.94</v>
      </c>
      <c r="S89" s="10">
        <v>26.829999999999899</v>
      </c>
      <c r="T89" s="8">
        <v>33.759999999999899</v>
      </c>
      <c r="U89" s="24">
        <f t="shared" si="2"/>
        <v>7.7577417544067999E-5</v>
      </c>
      <c r="V89" s="26"/>
    </row>
    <row r="90" spans="1:22">
      <c r="A90" s="19">
        <v>89</v>
      </c>
      <c r="B90" s="18">
        <v>199</v>
      </c>
      <c r="C90" s="17" t="s">
        <v>107</v>
      </c>
      <c r="D90" s="16" t="s">
        <v>90</v>
      </c>
      <c r="E90" s="19" t="s">
        <v>141</v>
      </c>
      <c r="F90" s="21"/>
      <c r="G90" s="10">
        <v>2.8666666666666698</v>
      </c>
      <c r="H90" s="8">
        <v>2</v>
      </c>
      <c r="I90" s="10">
        <v>2.93333333333333</v>
      </c>
      <c r="J90" s="8">
        <v>1.93333333333333</v>
      </c>
      <c r="K90" s="10">
        <v>2.8</v>
      </c>
      <c r="L90" s="8">
        <v>2.06666666666667</v>
      </c>
      <c r="M90" s="3">
        <v>2.2961114856215398E-2</v>
      </c>
      <c r="N90" s="3">
        <v>0.14895920324053499</v>
      </c>
      <c r="O90" s="3">
        <v>0.99986956800000004</v>
      </c>
      <c r="P90" s="10">
        <v>28.33</v>
      </c>
      <c r="Q90" s="8">
        <v>39.049999999999997</v>
      </c>
      <c r="R90" s="15">
        <v>10.71</v>
      </c>
      <c r="S90" s="10">
        <v>23.78</v>
      </c>
      <c r="T90" s="8">
        <v>33.759999999999899</v>
      </c>
      <c r="U90" s="24">
        <f t="shared" si="2"/>
        <v>0.85091036475946502</v>
      </c>
      <c r="V90" s="26"/>
    </row>
    <row r="91" spans="1:22">
      <c r="A91" s="19">
        <v>90</v>
      </c>
      <c r="B91" s="18">
        <v>199</v>
      </c>
      <c r="C91" s="17" t="s">
        <v>96</v>
      </c>
      <c r="D91" s="16" t="s">
        <v>90</v>
      </c>
      <c r="E91" s="19" t="s">
        <v>142</v>
      </c>
      <c r="F91" s="21"/>
      <c r="G91" s="10">
        <v>3.1</v>
      </c>
      <c r="H91" s="8">
        <v>2</v>
      </c>
      <c r="I91" s="10">
        <v>3</v>
      </c>
      <c r="J91" s="8">
        <v>1.93333333333333</v>
      </c>
      <c r="K91" s="10">
        <v>3.2</v>
      </c>
      <c r="L91" s="8">
        <v>2.06666666666667</v>
      </c>
      <c r="M91" s="3">
        <v>6.14226842371446E-5</v>
      </c>
      <c r="N91" s="3">
        <v>5.1151233948413997E-2</v>
      </c>
      <c r="O91" s="3">
        <v>0.141840877</v>
      </c>
      <c r="P91" s="10">
        <v>25</v>
      </c>
      <c r="Q91" s="8">
        <v>39.049999999999997</v>
      </c>
      <c r="R91" s="15">
        <v>14.05</v>
      </c>
      <c r="S91" s="10">
        <v>23.25</v>
      </c>
      <c r="T91" s="8">
        <v>33.759999999999899</v>
      </c>
      <c r="U91" s="24">
        <f t="shared" si="2"/>
        <v>9.0689643051586E-2</v>
      </c>
      <c r="V91" s="25"/>
    </row>
    <row r="92" spans="1:22">
      <c r="A92" s="19">
        <v>110</v>
      </c>
      <c r="B92" s="18">
        <v>199</v>
      </c>
      <c r="C92" s="17" t="s">
        <v>113</v>
      </c>
      <c r="D92" s="16" t="s">
        <v>90</v>
      </c>
      <c r="E92" s="19" t="s">
        <v>143</v>
      </c>
      <c r="F92" s="21"/>
      <c r="G92" s="10">
        <v>2.93333333333333</v>
      </c>
      <c r="H92" s="8">
        <v>2</v>
      </c>
      <c r="I92" s="10">
        <v>2.8666666666666698</v>
      </c>
      <c r="J92" s="8">
        <v>1.93333333333333</v>
      </c>
      <c r="K92" s="10">
        <v>3</v>
      </c>
      <c r="L92" s="8">
        <v>2.06666666666667</v>
      </c>
      <c r="M92" s="3">
        <v>4.0351067522509396E-3</v>
      </c>
      <c r="N92" s="3">
        <v>0.351257237182584</v>
      </c>
      <c r="O92" s="3">
        <v>0.80581418199999999</v>
      </c>
      <c r="P92" s="10">
        <v>8.33</v>
      </c>
      <c r="Q92" s="8">
        <v>39.049999999999997</v>
      </c>
      <c r="R92" s="15">
        <v>30.71</v>
      </c>
      <c r="S92" s="10">
        <v>27.719999999999899</v>
      </c>
      <c r="T92" s="8">
        <v>33.759999999999899</v>
      </c>
      <c r="U92" s="24">
        <f t="shared" si="2"/>
        <v>0.45455694481741599</v>
      </c>
      <c r="V92" s="25"/>
    </row>
    <row r="93" spans="1:22">
      <c r="A93" s="19">
        <v>111</v>
      </c>
      <c r="B93" s="18">
        <v>199</v>
      </c>
      <c r="C93" s="17" t="s">
        <v>114</v>
      </c>
      <c r="D93" s="16" t="s">
        <v>90</v>
      </c>
      <c r="E93" s="19" t="s">
        <v>144</v>
      </c>
      <c r="F93" s="21"/>
      <c r="G93" s="10">
        <v>2.9</v>
      </c>
      <c r="H93" s="8">
        <v>2</v>
      </c>
      <c r="I93" s="10">
        <v>2.7333333333333298</v>
      </c>
      <c r="J93" s="8">
        <v>1.93333333333333</v>
      </c>
      <c r="K93" s="10">
        <v>3.06666666666667</v>
      </c>
      <c r="L93" s="8">
        <v>2.06666666666667</v>
      </c>
      <c r="M93" s="3">
        <v>9.8986193766246195E-3</v>
      </c>
      <c r="N93" s="3">
        <v>0.88723009779233197</v>
      </c>
      <c r="O93" s="3">
        <v>0.55730515400000002</v>
      </c>
      <c r="P93" s="10">
        <v>16.670000000000002</v>
      </c>
      <c r="Q93" s="8">
        <v>39.049999999999997</v>
      </c>
      <c r="R93" s="15">
        <v>22.38</v>
      </c>
      <c r="S93" s="10">
        <v>27.18</v>
      </c>
      <c r="T93" s="8">
        <v>33.759999999999899</v>
      </c>
      <c r="U93" s="24">
        <f t="shared" si="2"/>
        <v>0.32992494379233195</v>
      </c>
      <c r="V93" s="26"/>
    </row>
    <row r="94" spans="1:22">
      <c r="A94" s="19">
        <v>112</v>
      </c>
      <c r="B94" s="18">
        <v>199</v>
      </c>
      <c r="C94" s="17" t="s">
        <v>115</v>
      </c>
      <c r="D94" s="16" t="s">
        <v>90</v>
      </c>
      <c r="E94" s="19" t="s">
        <v>145</v>
      </c>
      <c r="F94" s="21"/>
      <c r="G94" s="10">
        <v>2.93333333333333</v>
      </c>
      <c r="H94" s="8">
        <v>2</v>
      </c>
      <c r="I94" s="10">
        <v>2.93333333333333</v>
      </c>
      <c r="J94" s="8">
        <v>1.93333333333333</v>
      </c>
      <c r="K94" s="10">
        <v>2.93333333333333</v>
      </c>
      <c r="L94" s="8">
        <v>2.06666666666667</v>
      </c>
      <c r="M94" s="3">
        <v>4.0351067522509396E-3</v>
      </c>
      <c r="N94" s="3">
        <v>0.14895920324053499</v>
      </c>
      <c r="O94" s="3">
        <v>0.95307785199999995</v>
      </c>
      <c r="P94" s="10">
        <v>16.440000000000001</v>
      </c>
      <c r="Q94" s="8">
        <v>39.049999999999997</v>
      </c>
      <c r="R94" s="15">
        <v>22.6</v>
      </c>
      <c r="S94" s="10">
        <v>26.84</v>
      </c>
      <c r="T94" s="8">
        <v>33.759999999999899</v>
      </c>
      <c r="U94" s="24">
        <f t="shared" si="2"/>
        <v>0.80411864875946493</v>
      </c>
      <c r="V94" s="25"/>
    </row>
    <row r="95" spans="1:22">
      <c r="A95" s="19">
        <v>140</v>
      </c>
      <c r="B95" s="18">
        <v>199</v>
      </c>
      <c r="C95" s="17" t="s">
        <v>111</v>
      </c>
      <c r="D95" s="16" t="s">
        <v>90</v>
      </c>
      <c r="E95" s="19" t="s">
        <v>149</v>
      </c>
      <c r="F95" s="21"/>
      <c r="G95" s="10">
        <v>3</v>
      </c>
      <c r="H95" s="8">
        <v>2</v>
      </c>
      <c r="I95" s="10">
        <v>2.8666666666666698</v>
      </c>
      <c r="J95" s="8">
        <v>1.93333333333333</v>
      </c>
      <c r="K95" s="10">
        <v>3.1333333333333302</v>
      </c>
      <c r="L95" s="8">
        <v>2.06666666666667</v>
      </c>
      <c r="M95" s="3">
        <v>5.9218329874699603E-4</v>
      </c>
      <c r="N95" s="3">
        <v>0.351257237182584</v>
      </c>
      <c r="O95" s="3">
        <v>0.30999542499999999</v>
      </c>
      <c r="P95" s="10">
        <v>20</v>
      </c>
      <c r="Q95" s="8">
        <v>39.049999999999997</v>
      </c>
      <c r="R95" s="15">
        <v>19.05</v>
      </c>
      <c r="S95" s="10">
        <v>16.6099999999999</v>
      </c>
      <c r="T95" s="8">
        <v>33.759999999999899</v>
      </c>
      <c r="U95" s="24">
        <f t="shared" si="2"/>
        <v>4.1261812182584012E-2</v>
      </c>
      <c r="V95" s="25"/>
    </row>
    <row r="96" spans="1:22">
      <c r="A96" s="19">
        <v>151</v>
      </c>
      <c r="B96" s="18">
        <v>199</v>
      </c>
      <c r="C96" s="17" t="s">
        <v>131</v>
      </c>
      <c r="D96" s="16" t="s">
        <v>90</v>
      </c>
      <c r="E96" s="19" t="s">
        <v>151</v>
      </c>
      <c r="F96" s="21"/>
      <c r="G96" s="10">
        <v>2.9666666666666699</v>
      </c>
      <c r="H96" s="8">
        <v>2</v>
      </c>
      <c r="I96" s="10">
        <v>3</v>
      </c>
      <c r="J96" s="8">
        <v>1.93333333333333</v>
      </c>
      <c r="K96" s="10">
        <v>2.93333333333333</v>
      </c>
      <c r="L96" s="8">
        <v>2.06666666666667</v>
      </c>
      <c r="M96" s="3">
        <v>1.5676441311247599E-3</v>
      </c>
      <c r="N96" s="3">
        <v>5.1151233948413997E-2</v>
      </c>
      <c r="O96" s="3">
        <v>0.95307785199999995</v>
      </c>
      <c r="P96" s="10">
        <v>18.89</v>
      </c>
      <c r="Q96" s="8">
        <v>39.049999999999997</v>
      </c>
      <c r="R96" s="15">
        <v>20.16</v>
      </c>
      <c r="S96" s="10">
        <v>32.200000000000003</v>
      </c>
      <c r="T96" s="8">
        <v>33.759999999999899</v>
      </c>
      <c r="U96" s="24">
        <f t="shared" si="2"/>
        <v>0.90192661805158592</v>
      </c>
      <c r="V96" s="25"/>
    </row>
    <row r="97" spans="1:22">
      <c r="A97" s="19">
        <v>164</v>
      </c>
      <c r="B97" s="18">
        <v>199</v>
      </c>
      <c r="C97" s="17" t="s">
        <v>97</v>
      </c>
      <c r="D97" s="16" t="s">
        <v>90</v>
      </c>
      <c r="E97" s="20"/>
      <c r="F97" s="21"/>
      <c r="G97" s="10">
        <v>3.3333333333333299</v>
      </c>
      <c r="H97" s="8">
        <v>2</v>
      </c>
      <c r="I97" s="10">
        <v>3.2666666666666702</v>
      </c>
      <c r="J97" s="8">
        <v>1.93333333333333</v>
      </c>
      <c r="K97" s="10">
        <v>3.4</v>
      </c>
      <c r="L97" s="8">
        <v>2.06666666666667</v>
      </c>
      <c r="M97" s="3">
        <v>4.2975114655785498E-5</v>
      </c>
      <c r="N97" s="3">
        <v>1.90457280800582E-4</v>
      </c>
      <c r="O97" s="3">
        <v>5.6419549999999997E-3</v>
      </c>
      <c r="P97" s="10">
        <v>23.33</v>
      </c>
      <c r="Q97" s="8">
        <v>39.049999999999997</v>
      </c>
      <c r="R97" s="15">
        <v>15.71</v>
      </c>
      <c r="S97" s="10">
        <v>21.3599999999999</v>
      </c>
      <c r="T97" s="8">
        <v>33.759999999999899</v>
      </c>
      <c r="U97" s="24">
        <f t="shared" si="2"/>
        <v>5.4514977191994175E-3</v>
      </c>
      <c r="V97" s="25"/>
    </row>
    <row r="98" spans="1:22">
      <c r="A98" s="19">
        <v>172</v>
      </c>
      <c r="B98" s="18">
        <v>199</v>
      </c>
      <c r="C98" s="17" t="s">
        <v>132</v>
      </c>
      <c r="D98" s="16" t="s">
        <v>90</v>
      </c>
      <c r="E98" s="19" t="s">
        <v>153</v>
      </c>
      <c r="F98" s="21"/>
      <c r="G98" s="10">
        <v>3.2333333333333298</v>
      </c>
      <c r="H98" s="8">
        <v>2</v>
      </c>
      <c r="I98" s="10">
        <v>3.3333333333333299</v>
      </c>
      <c r="J98" s="8">
        <v>1.93333333333333</v>
      </c>
      <c r="K98" s="10">
        <v>3.1333333333333302</v>
      </c>
      <c r="L98" s="8">
        <v>2.06666666666667</v>
      </c>
      <c r="M98" s="3">
        <v>4.3070806375333801E-5</v>
      </c>
      <c r="N98" s="3">
        <v>6.7191021312362805E-5</v>
      </c>
      <c r="O98" s="3">
        <v>0.31</v>
      </c>
      <c r="P98" s="10">
        <v>35.56</v>
      </c>
      <c r="Q98" s="8">
        <v>39.049999999999997</v>
      </c>
      <c r="R98" s="15">
        <v>3.49</v>
      </c>
      <c r="S98" s="10">
        <v>31.71</v>
      </c>
      <c r="T98" s="8">
        <v>33.759999999999899</v>
      </c>
      <c r="U98" s="24">
        <f t="shared" si="2"/>
        <v>0.30993280897868764</v>
      </c>
      <c r="V98" s="25"/>
    </row>
    <row r="99" spans="1:22">
      <c r="A99" s="19">
        <v>175</v>
      </c>
      <c r="B99" s="18">
        <v>199</v>
      </c>
      <c r="C99" s="17" t="s">
        <v>124</v>
      </c>
      <c r="D99" s="16" t="s">
        <v>90</v>
      </c>
      <c r="E99" s="19" t="s">
        <v>154</v>
      </c>
      <c r="F99" s="21"/>
      <c r="G99" s="10">
        <v>3.5</v>
      </c>
      <c r="H99" s="8">
        <v>2</v>
      </c>
      <c r="I99" s="10">
        <v>3.5333333333333301</v>
      </c>
      <c r="J99" s="8">
        <v>1.93333333333333</v>
      </c>
      <c r="K99" s="10">
        <v>3.4666666666666699</v>
      </c>
      <c r="L99" s="8">
        <v>2.06666666666667</v>
      </c>
      <c r="M99" s="3">
        <v>4.2974043874210999E-5</v>
      </c>
      <c r="N99" s="3">
        <v>4.3024443830530501E-5</v>
      </c>
      <c r="O99" s="3">
        <v>1.5499999999999999E-3</v>
      </c>
      <c r="P99" s="10">
        <v>30.56</v>
      </c>
      <c r="Q99" s="8">
        <v>39.049999999999997</v>
      </c>
      <c r="R99" s="15">
        <v>8.49</v>
      </c>
      <c r="S99" s="10">
        <v>29.91</v>
      </c>
      <c r="T99" s="8">
        <v>33.759999999999899</v>
      </c>
      <c r="U99" s="24">
        <f t="shared" si="2"/>
        <v>1.5069755561694694E-3</v>
      </c>
      <c r="V99" s="26"/>
    </row>
    <row r="100" spans="1:22">
      <c r="A100" s="19">
        <v>140</v>
      </c>
      <c r="B100" s="18">
        <v>202</v>
      </c>
      <c r="C100" s="17" t="s">
        <v>111</v>
      </c>
      <c r="D100" s="16" t="s">
        <v>129</v>
      </c>
      <c r="E100" s="19" t="s">
        <v>149</v>
      </c>
      <c r="F100" s="21"/>
      <c r="G100" s="10">
        <v>3</v>
      </c>
      <c r="H100" s="8">
        <v>2.1</v>
      </c>
      <c r="I100" s="10">
        <v>2.8666666666666698</v>
      </c>
      <c r="J100" s="8">
        <v>1.86666666666667</v>
      </c>
      <c r="K100" s="10">
        <v>3.1333333333333302</v>
      </c>
      <c r="L100" s="8">
        <v>2.3333333333333299</v>
      </c>
      <c r="M100" s="3">
        <v>9.8986193766246195E-3</v>
      </c>
      <c r="N100" s="3">
        <v>0.14895920324053599</v>
      </c>
      <c r="O100" s="3">
        <v>0.99533162900000005</v>
      </c>
      <c r="P100" s="10">
        <v>20</v>
      </c>
      <c r="Q100" s="8">
        <v>22.22</v>
      </c>
      <c r="R100" s="15">
        <v>2.2200000000000002</v>
      </c>
      <c r="S100" s="10">
        <v>16.6099999999999</v>
      </c>
      <c r="T100" s="8">
        <v>17.739999999999899</v>
      </c>
      <c r="U100" s="24">
        <f t="shared" si="2"/>
        <v>0.84637242575946403</v>
      </c>
      <c r="V100" s="25"/>
    </row>
    <row r="101" spans="1:22">
      <c r="A101" s="18">
        <v>188</v>
      </c>
      <c r="B101" s="19">
        <v>204</v>
      </c>
      <c r="C101" s="16" t="s">
        <v>84</v>
      </c>
      <c r="D101" s="17" t="s">
        <v>133</v>
      </c>
      <c r="E101" s="21"/>
      <c r="F101" s="20" t="s">
        <v>166</v>
      </c>
      <c r="G101" s="8">
        <v>1.7666666666666699</v>
      </c>
      <c r="H101" s="10">
        <v>2.8</v>
      </c>
      <c r="I101" s="8">
        <v>1.8</v>
      </c>
      <c r="J101" s="10">
        <v>2.2666666666666702</v>
      </c>
      <c r="K101" s="8">
        <v>1.7333333333333301</v>
      </c>
      <c r="L101" s="10">
        <v>3.3333333333333299</v>
      </c>
      <c r="M101" s="3">
        <v>2.2989784407712001E-4</v>
      </c>
      <c r="N101" s="3">
        <v>0.999999999999999</v>
      </c>
      <c r="O101" s="3">
        <v>5.8199999999999998E-5</v>
      </c>
      <c r="P101" s="8">
        <v>22.86</v>
      </c>
      <c r="Q101" s="10">
        <v>18.329999999999998</v>
      </c>
      <c r="R101" s="15">
        <v>4.5199999999999996</v>
      </c>
      <c r="S101" s="8">
        <v>18.3599999999999</v>
      </c>
      <c r="T101" s="10">
        <v>17.16</v>
      </c>
      <c r="U101" s="24">
        <f t="shared" ref="U101:U109" si="3">ABS(N101-O101)</f>
        <v>0.99994179999999899</v>
      </c>
      <c r="V101" s="26"/>
    </row>
    <row r="102" spans="1:22">
      <c r="A102" s="18">
        <v>199</v>
      </c>
      <c r="B102" s="19">
        <v>207</v>
      </c>
      <c r="C102" s="16" t="s">
        <v>90</v>
      </c>
      <c r="D102" s="17" t="s">
        <v>135</v>
      </c>
      <c r="E102" s="21"/>
      <c r="F102" s="20" t="s">
        <v>167</v>
      </c>
      <c r="G102" s="8">
        <v>2</v>
      </c>
      <c r="H102" s="10">
        <v>3.0333333333333301</v>
      </c>
      <c r="I102" s="8">
        <v>1.93333333333333</v>
      </c>
      <c r="J102" s="10">
        <v>2.8666666666666698</v>
      </c>
      <c r="K102" s="8">
        <v>2.06666666666667</v>
      </c>
      <c r="L102" s="10">
        <v>3.2</v>
      </c>
      <c r="M102" s="3">
        <v>2.2989784407712001E-4</v>
      </c>
      <c r="N102" s="3">
        <v>0.351257237182584</v>
      </c>
      <c r="O102" s="3">
        <v>0.141840877</v>
      </c>
      <c r="P102" s="8">
        <v>39.049999999999997</v>
      </c>
      <c r="Q102" s="10">
        <v>28.89</v>
      </c>
      <c r="R102" s="15">
        <v>10.16</v>
      </c>
      <c r="S102" s="8">
        <v>33.759999999999899</v>
      </c>
      <c r="T102" s="10">
        <v>28.28</v>
      </c>
      <c r="U102" s="24">
        <f t="shared" si="3"/>
        <v>0.209416360182584</v>
      </c>
      <c r="V102" s="25"/>
    </row>
    <row r="103" spans="1:22">
      <c r="A103" s="19">
        <v>104</v>
      </c>
      <c r="B103" s="18">
        <v>211</v>
      </c>
      <c r="C103" s="17" t="s">
        <v>77</v>
      </c>
      <c r="D103" s="16" t="s">
        <v>112</v>
      </c>
      <c r="E103" s="20"/>
      <c r="F103" s="21"/>
      <c r="G103" s="10">
        <v>2.1333333333333302</v>
      </c>
      <c r="H103" s="8">
        <v>1.2333333333333301</v>
      </c>
      <c r="I103" s="10">
        <v>2</v>
      </c>
      <c r="J103" s="8">
        <v>1.2</v>
      </c>
      <c r="K103" s="10">
        <v>2.2666666666666702</v>
      </c>
      <c r="L103" s="8">
        <v>1.2666666666666699</v>
      </c>
      <c r="M103" s="3">
        <v>9.8986193766246195E-3</v>
      </c>
      <c r="N103" s="3">
        <v>0.88723009779233197</v>
      </c>
      <c r="O103" s="3">
        <v>0.55730515400000002</v>
      </c>
      <c r="P103" s="10">
        <v>13</v>
      </c>
      <c r="Q103" s="8">
        <v>15.26</v>
      </c>
      <c r="R103" s="15">
        <v>2.2599999999999998</v>
      </c>
      <c r="S103" s="10">
        <v>10.3599999999999</v>
      </c>
      <c r="T103" s="8">
        <v>11.5</v>
      </c>
      <c r="U103" s="24">
        <f t="shared" si="3"/>
        <v>0.32992494379233195</v>
      </c>
      <c r="V103" s="25"/>
    </row>
    <row r="104" spans="1:22">
      <c r="A104" s="19">
        <v>67</v>
      </c>
      <c r="B104" s="18">
        <v>215</v>
      </c>
      <c r="C104" s="17" t="s">
        <v>87</v>
      </c>
      <c r="D104" s="16" t="s">
        <v>91</v>
      </c>
      <c r="E104" s="19" t="s">
        <v>139</v>
      </c>
      <c r="F104" s="21"/>
      <c r="G104" s="10">
        <v>3.5333333333333301</v>
      </c>
      <c r="H104" s="8">
        <v>2.2333333333333298</v>
      </c>
      <c r="I104" s="10">
        <v>3.4666666666666699</v>
      </c>
      <c r="J104" s="8">
        <v>2.3333333333333299</v>
      </c>
      <c r="K104" s="10">
        <v>3.6</v>
      </c>
      <c r="L104" s="8">
        <v>2.1333333333333302</v>
      </c>
      <c r="M104" s="3">
        <v>4.2979127263809201E-5</v>
      </c>
      <c r="N104" s="3">
        <v>1.47919275934646E-2</v>
      </c>
      <c r="O104" s="3">
        <v>4.0354099999999999E-4</v>
      </c>
      <c r="P104" s="10">
        <v>31.11</v>
      </c>
      <c r="Q104" s="8">
        <v>37.78</v>
      </c>
      <c r="R104" s="8">
        <v>6.67</v>
      </c>
      <c r="S104" s="10">
        <v>26.829999999999899</v>
      </c>
      <c r="T104" s="8">
        <v>32.700000000000003</v>
      </c>
      <c r="U104" s="24">
        <f t="shared" si="3"/>
        <v>1.43883865934646E-2</v>
      </c>
      <c r="V104" s="25"/>
    </row>
    <row r="105" spans="1:22">
      <c r="A105" s="19">
        <v>90</v>
      </c>
      <c r="B105" s="18">
        <v>215</v>
      </c>
      <c r="C105" s="17" t="s">
        <v>96</v>
      </c>
      <c r="D105" s="16" t="s">
        <v>91</v>
      </c>
      <c r="E105" s="19" t="s">
        <v>142</v>
      </c>
      <c r="F105" s="21"/>
      <c r="G105" s="10">
        <v>3.1</v>
      </c>
      <c r="H105" s="8">
        <v>2.2333333333333298</v>
      </c>
      <c r="I105" s="10">
        <v>3</v>
      </c>
      <c r="J105" s="8">
        <v>2.3333333333333299</v>
      </c>
      <c r="K105" s="10">
        <v>3.2</v>
      </c>
      <c r="L105" s="8">
        <v>2.1333333333333302</v>
      </c>
      <c r="M105" s="3">
        <v>2.2961114856215398E-2</v>
      </c>
      <c r="N105" s="3">
        <v>0.99955975858591095</v>
      </c>
      <c r="O105" s="3">
        <v>0.30999542499999999</v>
      </c>
      <c r="P105" s="10">
        <v>25</v>
      </c>
      <c r="Q105" s="8">
        <v>37.78</v>
      </c>
      <c r="R105" s="15">
        <v>12.78</v>
      </c>
      <c r="S105" s="10">
        <v>23.25</v>
      </c>
      <c r="T105" s="8">
        <v>32.700000000000003</v>
      </c>
      <c r="U105" s="24">
        <f t="shared" si="3"/>
        <v>0.68956433358591096</v>
      </c>
      <c r="V105" s="25"/>
    </row>
    <row r="106" spans="1:22">
      <c r="A106" s="19">
        <v>164</v>
      </c>
      <c r="B106" s="18">
        <v>215</v>
      </c>
      <c r="C106" s="17" t="s">
        <v>97</v>
      </c>
      <c r="D106" s="16" t="s">
        <v>91</v>
      </c>
      <c r="E106" s="20"/>
      <c r="F106" s="21"/>
      <c r="G106" s="10">
        <v>3.3333333333333299</v>
      </c>
      <c r="H106" s="8">
        <v>2.2333333333333298</v>
      </c>
      <c r="I106" s="10">
        <v>3.2666666666666702</v>
      </c>
      <c r="J106" s="8">
        <v>2.3333333333333299</v>
      </c>
      <c r="K106" s="10">
        <v>3.4</v>
      </c>
      <c r="L106" s="8">
        <v>2.1333333333333302</v>
      </c>
      <c r="M106" s="3">
        <v>6.14226842371446E-5</v>
      </c>
      <c r="N106" s="3">
        <v>0.351257237182584</v>
      </c>
      <c r="O106" s="3">
        <v>1.8684570000000001E-2</v>
      </c>
      <c r="P106" s="10">
        <v>23.33</v>
      </c>
      <c r="Q106" s="8">
        <v>37.78</v>
      </c>
      <c r="R106" s="15">
        <v>14.44</v>
      </c>
      <c r="S106" s="10">
        <v>21.3599999999999</v>
      </c>
      <c r="T106" s="8">
        <v>32.700000000000003</v>
      </c>
      <c r="U106" s="24">
        <f t="shared" si="3"/>
        <v>0.33257266718258399</v>
      </c>
      <c r="V106" s="26"/>
    </row>
    <row r="107" spans="1:22">
      <c r="A107" s="19">
        <v>172</v>
      </c>
      <c r="B107" s="18">
        <v>215</v>
      </c>
      <c r="C107" s="17" t="s">
        <v>132</v>
      </c>
      <c r="D107" s="16" t="s">
        <v>91</v>
      </c>
      <c r="E107" s="19" t="s">
        <v>153</v>
      </c>
      <c r="F107" s="21"/>
      <c r="G107" s="10">
        <v>3.2333333333333298</v>
      </c>
      <c r="H107" s="8">
        <v>2.2333333333333298</v>
      </c>
      <c r="I107" s="10">
        <v>3.3333333333333299</v>
      </c>
      <c r="J107" s="8">
        <v>2.3333333333333299</v>
      </c>
      <c r="K107" s="10">
        <v>3.1333333333333302</v>
      </c>
      <c r="L107" s="8">
        <v>2.1333333333333302</v>
      </c>
      <c r="M107" s="3">
        <v>5.9218329874699603E-4</v>
      </c>
      <c r="N107" s="3">
        <v>0.14895920324053599</v>
      </c>
      <c r="O107" s="3">
        <v>0.55730515400000002</v>
      </c>
      <c r="P107" s="10">
        <v>35.56</v>
      </c>
      <c r="Q107" s="8">
        <v>37.78</v>
      </c>
      <c r="R107" s="15">
        <v>2.2200000000000002</v>
      </c>
      <c r="S107" s="10">
        <v>31.71</v>
      </c>
      <c r="T107" s="8">
        <v>32.700000000000003</v>
      </c>
      <c r="U107" s="24">
        <f t="shared" si="3"/>
        <v>0.408345950759464</v>
      </c>
      <c r="V107" s="25"/>
    </row>
    <row r="108" spans="1:22">
      <c r="A108" s="19">
        <v>175</v>
      </c>
      <c r="B108" s="18">
        <v>215</v>
      </c>
      <c r="C108" s="17" t="s">
        <v>124</v>
      </c>
      <c r="D108" s="16" t="s">
        <v>91</v>
      </c>
      <c r="E108" s="19" t="s">
        <v>154</v>
      </c>
      <c r="F108" s="21"/>
      <c r="G108" s="10">
        <v>3.5</v>
      </c>
      <c r="H108" s="8">
        <v>2.2333333333333298</v>
      </c>
      <c r="I108" s="10">
        <v>3.5333333333333301</v>
      </c>
      <c r="J108" s="8">
        <v>2.3333333333333299</v>
      </c>
      <c r="K108" s="10">
        <v>3.4666666666666699</v>
      </c>
      <c r="L108" s="8">
        <v>2.1333333333333302</v>
      </c>
      <c r="M108" s="3">
        <v>4.2996845921017302E-5</v>
      </c>
      <c r="N108" s="3">
        <v>3.70584180821987E-3</v>
      </c>
      <c r="O108" s="3">
        <v>5.6419549999999997E-3</v>
      </c>
      <c r="P108" s="10">
        <v>30.56</v>
      </c>
      <c r="Q108" s="8">
        <v>37.78</v>
      </c>
      <c r="R108" s="15">
        <v>7.22</v>
      </c>
      <c r="S108" s="10">
        <v>29.91</v>
      </c>
      <c r="T108" s="8">
        <v>32.700000000000003</v>
      </c>
      <c r="U108" s="24">
        <f t="shared" si="3"/>
        <v>1.9361131917801297E-3</v>
      </c>
      <c r="V108" s="25"/>
    </row>
    <row r="109" spans="1:22">
      <c r="A109" s="19">
        <v>59</v>
      </c>
      <c r="B109" s="18">
        <v>218</v>
      </c>
      <c r="C109" s="17" t="s">
        <v>80</v>
      </c>
      <c r="D109" s="16" t="s">
        <v>86</v>
      </c>
      <c r="E109" s="19" t="s">
        <v>138</v>
      </c>
      <c r="F109" s="21"/>
      <c r="G109" s="10">
        <v>2.6666666666666701</v>
      </c>
      <c r="H109" s="8">
        <v>1.6666666666666701</v>
      </c>
      <c r="I109" s="10">
        <v>2.1333333333333302</v>
      </c>
      <c r="J109" s="8">
        <v>1.4</v>
      </c>
      <c r="K109" s="10">
        <v>3.2</v>
      </c>
      <c r="L109" s="8">
        <v>1.93333333333333</v>
      </c>
      <c r="M109" s="3">
        <v>5.9218329874699603E-4</v>
      </c>
      <c r="N109" s="3">
        <v>0.98581047760896201</v>
      </c>
      <c r="O109" s="3">
        <v>1.8684570000000001E-2</v>
      </c>
      <c r="P109" s="10">
        <v>6.67</v>
      </c>
      <c r="Q109" s="8">
        <v>12.3</v>
      </c>
      <c r="R109" s="8">
        <v>5.63</v>
      </c>
      <c r="S109" s="10">
        <v>16.260000000000002</v>
      </c>
      <c r="T109" s="8">
        <v>21.579999999999899</v>
      </c>
      <c r="U109" s="24">
        <f t="shared" si="3"/>
        <v>0.967125907608962</v>
      </c>
      <c r="V109" s="25"/>
    </row>
    <row r="110" spans="1:22">
      <c r="C110" s="28" t="s">
        <v>171</v>
      </c>
    </row>
  </sheetData>
  <sortState ref="A4:V108">
    <sortCondition ref="B4:B108"/>
  </sortState>
  <mergeCells count="24">
    <mergeCell ref="M3:M4"/>
    <mergeCell ref="U3:U4"/>
    <mergeCell ref="O3:O4"/>
    <mergeCell ref="P3:P4"/>
    <mergeCell ref="Q3:Q4"/>
    <mergeCell ref="R3:R4"/>
    <mergeCell ref="S3:S4"/>
    <mergeCell ref="T3:T4"/>
    <mergeCell ref="A1:U1"/>
    <mergeCell ref="S2:U2"/>
    <mergeCell ref="A3:A4"/>
    <mergeCell ref="B3:B4"/>
    <mergeCell ref="C3:C4"/>
    <mergeCell ref="D3:D4"/>
    <mergeCell ref="E3:E4"/>
    <mergeCell ref="N3:N4"/>
    <mergeCell ref="A2:F2"/>
    <mergeCell ref="G2:L2"/>
    <mergeCell ref="M2:O2"/>
    <mergeCell ref="P2:R2"/>
    <mergeCell ref="F3:F4"/>
    <mergeCell ref="G3:H3"/>
    <mergeCell ref="I3:J3"/>
    <mergeCell ref="K3:L3"/>
  </mergeCells>
  <phoneticPr fontId="1" type="noConversion"/>
  <pageMargins left="0.75" right="0.75" top="1" bottom="1" header="0.5" footer="0.5"/>
  <pageSetup scale="2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DYADS</vt:lpstr>
      <vt:lpstr>TRIADS</vt:lpstr>
      <vt:lpstr>TETRADS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Bowling</dc:creator>
  <cp:lastModifiedBy>Daniel Bowling</cp:lastModifiedBy>
  <cp:lastPrinted>2017-05-27T10:05:21Z</cp:lastPrinted>
  <dcterms:created xsi:type="dcterms:W3CDTF">2017-05-27T09:09:20Z</dcterms:created>
  <dcterms:modified xsi:type="dcterms:W3CDTF">2017-11-21T15:31:35Z</dcterms:modified>
</cp:coreProperties>
</file>