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checkCompatibility="1" autoCompressPictures="0"/>
  <bookViews>
    <workbookView xWindow="1240" yWindow="40" windowWidth="25600" windowHeight="16060" tabRatio="500" activeTab="1"/>
  </bookViews>
  <sheets>
    <sheet name="dyads" sheetId="4" r:id="rId1"/>
    <sheet name="triads" sheetId="5" r:id="rId2"/>
    <sheet name="tetrads" sheetId="6" r:id="rId3"/>
  </sheets>
  <definedNames>
    <definedName name="tetreads" localSheetId="0">dyads!$D$6:$D$92</definedName>
    <definedName name="tetreads_1" localSheetId="0">dyads!#REF!</definedName>
    <definedName name="tetreads_1" localSheetId="2">tetrads!$D$6:$F$170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71" i="5" l="1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N17" i="4"/>
  <c r="N16" i="4"/>
  <c r="N15" i="4"/>
  <c r="N14" i="4"/>
  <c r="N13" i="4"/>
  <c r="N12" i="4"/>
  <c r="N11" i="4"/>
  <c r="N10" i="4"/>
  <c r="N9" i="4"/>
  <c r="N8" i="4"/>
  <c r="N7" i="4"/>
  <c r="N6" i="4"/>
</calcChain>
</file>

<file path=xl/connections.xml><?xml version="1.0" encoding="utf-8"?>
<connections xmlns="http://schemas.openxmlformats.org/spreadsheetml/2006/main">
  <connection id="1" name="Connection2" type="6" refreshedVersion="0" deleted="1" background="1" saveData="1">
    <textPr fileType="mac" sourceFile="Macintosh HD:Users:danielbowling:Desktop:tetreads" comma="1">
      <textFields count="3">
        <textField/>
        <textField/>
        <textField/>
      </textFields>
    </textPr>
  </connection>
  <connection id="2" name="Connection4" type="6" refreshedVersion="0" background="1" saveData="1">
    <textPr fileType="mac" sourceFile="Macintosh HD:Users:danielbowling:Desktop:chords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<sst xmlns="http://schemas.openxmlformats.org/spreadsheetml/2006/main" count="167" uniqueCount="100">
  <si>
    <t>rank</t>
  </si>
  <si>
    <t>FUNDAMENTAL FREQUENCIES (Hz)</t>
  </si>
  <si>
    <t xml:space="preserve">CHORD TONES                                                  </t>
  </si>
  <si>
    <t>mean</t>
  </si>
  <si>
    <t>sd</t>
  </si>
  <si>
    <t>se</t>
  </si>
  <si>
    <t>NAME</t>
  </si>
  <si>
    <t>tone1</t>
  </si>
  <si>
    <t>tone2</t>
  </si>
  <si>
    <t>tone3</t>
  </si>
  <si>
    <t>tone4</t>
  </si>
  <si>
    <t>CHORD #</t>
  </si>
  <si>
    <t>dimished 7th chord</t>
  </si>
  <si>
    <t>mu chord</t>
  </si>
  <si>
    <t>major 7th chord</t>
  </si>
  <si>
    <t>minor 7th chord</t>
  </si>
  <si>
    <t>minor 2nd</t>
  </si>
  <si>
    <t>major 2nd</t>
  </si>
  <si>
    <t>minor 3rd</t>
  </si>
  <si>
    <t>major 3rd</t>
  </si>
  <si>
    <t>perfect 4th</t>
  </si>
  <si>
    <t>tritone</t>
  </si>
  <si>
    <t>perfect 5th</t>
  </si>
  <si>
    <t>minor 6th</t>
  </si>
  <si>
    <t>major 6th</t>
  </si>
  <si>
    <t>minor 7th</t>
  </si>
  <si>
    <t>major 7th</t>
  </si>
  <si>
    <t>octave</t>
  </si>
  <si>
    <t>power chord added M7</t>
  </si>
  <si>
    <t>COMBINED RATINS (N=30)</t>
  </si>
  <si>
    <t>COMBINED RATINGS (N=30)</t>
  </si>
  <si>
    <t>SINGAPORE RATINGS (N=15)</t>
  </si>
  <si>
    <t>VIENNA RATINGS (N=15)</t>
  </si>
  <si>
    <t>Viennese trichord</t>
  </si>
  <si>
    <t>Italian 6th</t>
  </si>
  <si>
    <t>power chord</t>
  </si>
  <si>
    <t>suspended 2nd</t>
  </si>
  <si>
    <t>suspended 4th</t>
  </si>
  <si>
    <t xml:space="preserve"> </t>
  </si>
  <si>
    <t xml:space="preserve">Minimum frequency interval </t>
  </si>
  <si>
    <t>Harmonic similarity score</t>
  </si>
  <si>
    <t>minor triad (r) + M2</t>
  </si>
  <si>
    <t>major triad (r) + P4</t>
  </si>
  <si>
    <t>minor triad (r) + tt</t>
  </si>
  <si>
    <t>power chord + m7</t>
  </si>
  <si>
    <t>power chord + m2</t>
  </si>
  <si>
    <t>diminished (r) + M7</t>
  </si>
  <si>
    <t>minor (r) + M7</t>
  </si>
  <si>
    <t>power chord + M3</t>
  </si>
  <si>
    <t>power chord + m6</t>
  </si>
  <si>
    <t>power chord + M6</t>
  </si>
  <si>
    <t xml:space="preserve">augmented triad </t>
  </si>
  <si>
    <t>minor triad (r) + M6</t>
  </si>
  <si>
    <t>dominant 7th chord</t>
  </si>
  <si>
    <t>suspended 4th + M7</t>
  </si>
  <si>
    <t>augmented triad + oct</t>
  </si>
  <si>
    <t>minor triad (r) + m6</t>
  </si>
  <si>
    <t xml:space="preserve">minor triad (r) + oct </t>
  </si>
  <si>
    <t>major triad (r) + oct</t>
  </si>
  <si>
    <t>power chord + M2</t>
  </si>
  <si>
    <t>power chord + m3</t>
  </si>
  <si>
    <t>augmented triad + M6</t>
  </si>
  <si>
    <t>augmented triad + m7</t>
  </si>
  <si>
    <t>augmented triad + M7</t>
  </si>
  <si>
    <t>suspended 4th + tt</t>
  </si>
  <si>
    <t>suspended 4th + m6</t>
  </si>
  <si>
    <t>suspended 4th + M6</t>
  </si>
  <si>
    <t>suspended 4th + m7</t>
  </si>
  <si>
    <t>suspended 4th + oct</t>
  </si>
  <si>
    <t>major triad (r) + m2</t>
  </si>
  <si>
    <t>minor triad (r) + m2</t>
  </si>
  <si>
    <t>major triad (r) + tt</t>
  </si>
  <si>
    <t>minor triad (r) + P4</t>
  </si>
  <si>
    <t>major triad (r) + m3</t>
  </si>
  <si>
    <t>dominant 7th flat 5</t>
  </si>
  <si>
    <t>suspended 2nd + m6</t>
  </si>
  <si>
    <t>major triad (r) + M2</t>
  </si>
  <si>
    <t>major triad (r) + m6</t>
  </si>
  <si>
    <t>major triad (r) + M6</t>
  </si>
  <si>
    <t>suspended 4th + m2</t>
  </si>
  <si>
    <t>suspended 2nd + m2</t>
  </si>
  <si>
    <t>suspended 2nd + tt</t>
  </si>
  <si>
    <t>suspended 2nd + M6</t>
  </si>
  <si>
    <t>suspended 2nd + m7</t>
  </si>
  <si>
    <t>suspended 2nd + M7</t>
  </si>
  <si>
    <t>suspended 2nd + Oct</t>
  </si>
  <si>
    <t xml:space="preserve">dimished triad (r) </t>
  </si>
  <si>
    <t xml:space="preserve">minor triad (r) </t>
  </si>
  <si>
    <t>major triad (1)</t>
  </si>
  <si>
    <t>dimished triad (1)</t>
  </si>
  <si>
    <t xml:space="preserve">major triad (r) </t>
  </si>
  <si>
    <t>minor triad (1)</t>
  </si>
  <si>
    <t>minor triad (2)</t>
  </si>
  <si>
    <t>major triad (2)</t>
  </si>
  <si>
    <t>dimished triad (2)</t>
  </si>
  <si>
    <t>half diminished 7th chord</t>
  </si>
  <si>
    <t>diminished triad + oct</t>
  </si>
  <si>
    <t>DYADS</t>
  </si>
  <si>
    <t>TRIADS</t>
  </si>
  <si>
    <t>TETRADS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</si>
</sst>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Verdan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0"/>
      <name val="Verdana"/>
    </font>
    <font>
      <sz val="12"/>
      <name val="Calibri"/>
      <family val="2"/>
      <scheme val="minor"/>
    </font>
    <font>
      <sz val="10"/>
      <name val="Verdana"/>
      <family val="2"/>
    </font>
    <font>
      <sz val="10"/>
      <name val="Times New Roman"/>
    </font>
    <font>
      <b/>
      <sz val="20"/>
      <color theme="1"/>
      <name val="Verdana"/>
    </font>
    <font>
      <b/>
      <sz val="20"/>
      <color rgb="FF000000"/>
      <name val="Verdana"/>
    </font>
    <font>
      <b/>
      <sz val="20"/>
      <name val="Verdana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A4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0" xfId="0" applyFont="1" applyBorder="1"/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164" fontId="2" fillId="0" borderId="1" xfId="0" applyNumberFormat="1" applyFont="1" applyBorder="1"/>
    <xf numFmtId="0" fontId="0" fillId="0" borderId="1" xfId="0" applyFill="1" applyBorder="1"/>
    <xf numFmtId="0" fontId="7" fillId="0" borderId="1" xfId="0" applyFont="1" applyBorder="1"/>
    <xf numFmtId="0" fontId="2" fillId="0" borderId="1" xfId="0" applyFont="1" applyFill="1" applyBorder="1"/>
    <xf numFmtId="0" fontId="0" fillId="0" borderId="1" xfId="0" applyFill="1" applyBorder="1" applyAlignment="1">
      <alignment horizontal="left"/>
    </xf>
    <xf numFmtId="164" fontId="0" fillId="0" borderId="1" xfId="0" applyNumberFormat="1" applyFill="1" applyBorder="1"/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Fill="1" applyBorder="1"/>
    <xf numFmtId="164" fontId="7" fillId="0" borderId="1" xfId="0" applyNumberFormat="1" applyFont="1" applyFill="1" applyBorder="1"/>
    <xf numFmtId="0" fontId="0" fillId="0" borderId="0" xfId="0" applyBorder="1"/>
    <xf numFmtId="0" fontId="5" fillId="0" borderId="0" xfId="0" applyFont="1" applyFill="1" applyBorder="1"/>
    <xf numFmtId="164" fontId="0" fillId="0" borderId="0" xfId="0" applyNumberFormat="1" applyBorder="1"/>
    <xf numFmtId="1" fontId="0" fillId="0" borderId="0" xfId="0" applyNumberFormat="1" applyFill="1" applyBorder="1"/>
    <xf numFmtId="164" fontId="2" fillId="0" borderId="0" xfId="0" applyNumberFormat="1" applyFont="1" applyBorder="1"/>
    <xf numFmtId="0" fontId="0" fillId="0" borderId="0" xfId="0" applyFill="1" applyBorder="1"/>
    <xf numFmtId="0" fontId="5" fillId="0" borderId="1" xfId="0" applyFont="1" applyBorder="1" applyAlignment="1">
      <alignment horizontal="left"/>
    </xf>
    <xf numFmtId="0" fontId="10" fillId="0" borderId="0" xfId="0" applyFont="1" applyFill="1" applyAlignment="1">
      <alignment horizontal="center"/>
    </xf>
    <xf numFmtId="0" fontId="10" fillId="0" borderId="2" xfId="0" applyFont="1" applyFill="1" applyBorder="1" applyAlignment="1">
      <alignment horizontal="center"/>
    </xf>
    <xf numFmtId="2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4" fontId="8" fillId="0" borderId="1" xfId="0" applyNumberFormat="1" applyFont="1" applyFill="1" applyBorder="1"/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</cellXfs>
  <cellStyles count="3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name="tetreads_1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3"/>
  <sheetViews>
    <sheetView zoomScale="75" zoomScaleNormal="75" zoomScalePageLayoutView="75" workbookViewId="0">
      <pane xSplit="1" topLeftCell="B1" activePane="topRight" state="frozen"/>
      <selection pane="topRight" activeCell="I23" sqref="I23"/>
    </sheetView>
  </sheetViews>
  <sheetFormatPr baseColWidth="10" defaultColWidth="10.83203125" defaultRowHeight="15" x14ac:dyDescent="0"/>
  <cols>
    <col min="1" max="1" width="9.1640625" customWidth="1"/>
    <col min="2" max="2" width="12.83203125" customWidth="1"/>
    <col min="3" max="4" width="8.33203125" customWidth="1"/>
    <col min="5" max="6" width="9.1640625" customWidth="1"/>
    <col min="7" max="18" width="6.1640625" customWidth="1"/>
    <col min="19" max="19" width="12.33203125" customWidth="1"/>
    <col min="20" max="20" width="12.1640625" customWidth="1"/>
  </cols>
  <sheetData>
    <row r="1" spans="1:20">
      <c r="A1" s="46" t="s">
        <v>97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</row>
    <row r="2" spans="1:20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1"/>
    </row>
    <row r="3" spans="1:20" ht="15" customHeight="1">
      <c r="A3" s="56" t="s">
        <v>11</v>
      </c>
      <c r="B3" s="56" t="s">
        <v>6</v>
      </c>
      <c r="C3" s="56" t="s">
        <v>2</v>
      </c>
      <c r="D3" s="56"/>
      <c r="E3" s="56" t="s">
        <v>1</v>
      </c>
      <c r="F3" s="56"/>
      <c r="G3" s="54" t="s">
        <v>31</v>
      </c>
      <c r="H3" s="54"/>
      <c r="I3" s="54"/>
      <c r="J3" s="54"/>
      <c r="K3" s="54" t="s">
        <v>32</v>
      </c>
      <c r="L3" s="54"/>
      <c r="M3" s="54"/>
      <c r="N3" s="54"/>
      <c r="O3" s="54" t="s">
        <v>29</v>
      </c>
      <c r="P3" s="54"/>
      <c r="Q3" s="54"/>
      <c r="R3" s="54"/>
      <c r="S3" s="52" t="s">
        <v>40</v>
      </c>
      <c r="T3" s="52" t="s">
        <v>39</v>
      </c>
    </row>
    <row r="4" spans="1:20" ht="15" customHeight="1">
      <c r="A4" s="57"/>
      <c r="B4" s="57"/>
      <c r="C4" s="57"/>
      <c r="D4" s="57"/>
      <c r="E4" s="57"/>
      <c r="F4" s="57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3"/>
      <c r="T4" s="53"/>
    </row>
    <row r="5" spans="1:20">
      <c r="A5" s="5"/>
      <c r="B5" s="5"/>
      <c r="C5" s="42" t="s">
        <v>7</v>
      </c>
      <c r="D5" s="42" t="s">
        <v>8</v>
      </c>
      <c r="E5" s="42" t="s">
        <v>7</v>
      </c>
      <c r="F5" s="42" t="s">
        <v>8</v>
      </c>
      <c r="G5" s="43" t="s">
        <v>0</v>
      </c>
      <c r="H5" s="44" t="s">
        <v>3</v>
      </c>
      <c r="I5" s="44" t="s">
        <v>4</v>
      </c>
      <c r="J5" s="44" t="s">
        <v>5</v>
      </c>
      <c r="K5" s="45" t="s">
        <v>0</v>
      </c>
      <c r="L5" s="44" t="s">
        <v>3</v>
      </c>
      <c r="M5" s="44" t="s">
        <v>4</v>
      </c>
      <c r="N5" s="44" t="s">
        <v>5</v>
      </c>
      <c r="O5" s="45" t="s">
        <v>0</v>
      </c>
      <c r="P5" s="44" t="s">
        <v>3</v>
      </c>
      <c r="Q5" s="44" t="s">
        <v>4</v>
      </c>
      <c r="R5" s="44" t="s">
        <v>5</v>
      </c>
      <c r="S5" s="53"/>
      <c r="T5" s="53"/>
    </row>
    <row r="6" spans="1:20">
      <c r="A6" s="15">
        <v>1</v>
      </c>
      <c r="B6" s="7" t="s">
        <v>16</v>
      </c>
      <c r="C6" s="32">
        <v>0</v>
      </c>
      <c r="D6" s="32">
        <v>1</v>
      </c>
      <c r="E6" s="6">
        <v>253.19</v>
      </c>
      <c r="F6" s="6">
        <v>270.07</v>
      </c>
      <c r="G6" s="34">
        <v>12</v>
      </c>
      <c r="H6" s="8">
        <v>1.1200000000000001</v>
      </c>
      <c r="I6" s="8">
        <v>0.24842360136324801</v>
      </c>
      <c r="J6" s="8">
        <v>6.4142698058981901E-2</v>
      </c>
      <c r="K6" s="33">
        <v>12</v>
      </c>
      <c r="L6" s="8">
        <v>1.5133333333333334</v>
      </c>
      <c r="M6" s="8">
        <v>0.68124535821922327</v>
      </c>
      <c r="N6" s="9">
        <f t="shared" ref="N6:N17" si="0">M6/SQRT(15)</f>
        <v>0.1758967951376105</v>
      </c>
      <c r="O6" s="36">
        <v>11</v>
      </c>
      <c r="P6" s="8">
        <v>1.31666666666667</v>
      </c>
      <c r="Q6" s="8">
        <v>0.54207986008764797</v>
      </c>
      <c r="R6" s="8">
        <v>9.8969789113083004E-2</v>
      </c>
      <c r="S6" s="8">
        <v>0.125</v>
      </c>
      <c r="T6" s="30">
        <v>16.879999999999995</v>
      </c>
    </row>
    <row r="7" spans="1:20">
      <c r="A7" s="15">
        <v>2</v>
      </c>
      <c r="B7" s="6" t="s">
        <v>17</v>
      </c>
      <c r="C7" s="32">
        <v>0</v>
      </c>
      <c r="D7" s="32">
        <v>2</v>
      </c>
      <c r="E7" s="6">
        <v>246.24</v>
      </c>
      <c r="F7" s="6">
        <v>277.02</v>
      </c>
      <c r="G7" s="34">
        <v>10</v>
      </c>
      <c r="H7" s="8">
        <v>1.71333333333333</v>
      </c>
      <c r="I7" s="8">
        <v>0.66961253899621098</v>
      </c>
      <c r="J7" s="8">
        <v>0.17289321412959899</v>
      </c>
      <c r="K7" s="33">
        <v>9</v>
      </c>
      <c r="L7" s="8">
        <v>1.96</v>
      </c>
      <c r="M7" s="8">
        <v>0.63448516812564604</v>
      </c>
      <c r="N7" s="9">
        <f t="shared" si="0"/>
        <v>0.16382336597108266</v>
      </c>
      <c r="O7" s="36">
        <v>9</v>
      </c>
      <c r="P7" s="8">
        <v>1.83666666666667</v>
      </c>
      <c r="Q7" s="8">
        <v>0.65310047457114695</v>
      </c>
      <c r="R7" s="8">
        <v>0.11923928741331501</v>
      </c>
      <c r="S7" s="8">
        <v>0.22222222222222221</v>
      </c>
      <c r="T7" s="30">
        <v>30.779999999999973</v>
      </c>
    </row>
    <row r="8" spans="1:20">
      <c r="A8" s="15">
        <v>3</v>
      </c>
      <c r="B8" s="6" t="s">
        <v>18</v>
      </c>
      <c r="C8" s="32">
        <v>0</v>
      </c>
      <c r="D8" s="32">
        <v>3</v>
      </c>
      <c r="E8" s="6">
        <v>237.85</v>
      </c>
      <c r="F8" s="6">
        <v>285.41000000000003</v>
      </c>
      <c r="G8" s="34">
        <v>6</v>
      </c>
      <c r="H8" s="8">
        <v>2.84</v>
      </c>
      <c r="I8" s="8">
        <v>0.40672911308212401</v>
      </c>
      <c r="J8" s="8">
        <v>0.105017005425652</v>
      </c>
      <c r="K8" s="33">
        <v>5</v>
      </c>
      <c r="L8" s="8">
        <v>2.5466666666666673</v>
      </c>
      <c r="M8" s="8">
        <v>0.62205496618255429</v>
      </c>
      <c r="N8" s="9">
        <f t="shared" si="0"/>
        <v>0.16061390163004338</v>
      </c>
      <c r="O8" s="36">
        <v>6</v>
      </c>
      <c r="P8" s="8">
        <v>2.6933333333333298</v>
      </c>
      <c r="Q8" s="8">
        <v>0.53751236286236703</v>
      </c>
      <c r="R8" s="8">
        <v>9.8135882025873505E-2</v>
      </c>
      <c r="S8" s="8">
        <v>0.33333333333333331</v>
      </c>
      <c r="T8" s="30">
        <v>47.560000000000031</v>
      </c>
    </row>
    <row r="9" spans="1:20">
      <c r="A9" s="15">
        <v>4</v>
      </c>
      <c r="B9" s="6" t="s">
        <v>19</v>
      </c>
      <c r="C9" s="32">
        <v>0</v>
      </c>
      <c r="D9" s="32">
        <v>4</v>
      </c>
      <c r="E9" s="6">
        <v>232.56</v>
      </c>
      <c r="F9" s="6">
        <v>290.7</v>
      </c>
      <c r="G9" s="34">
        <v>3</v>
      </c>
      <c r="H9" s="8">
        <v>3.5133333333333301</v>
      </c>
      <c r="I9" s="8">
        <v>0.42235169276439799</v>
      </c>
      <c r="J9" s="8">
        <v>0.10905073815460201</v>
      </c>
      <c r="K9" s="33">
        <v>3</v>
      </c>
      <c r="L9" s="8">
        <v>2.8333333333333335</v>
      </c>
      <c r="M9" s="8">
        <v>0.58756965139300288</v>
      </c>
      <c r="N9" s="9">
        <f t="shared" si="0"/>
        <v>0.15170983163879984</v>
      </c>
      <c r="O9" s="36">
        <v>3</v>
      </c>
      <c r="P9" s="8">
        <v>3.1733333333333298</v>
      </c>
      <c r="Q9" s="8">
        <v>0.610219481901352</v>
      </c>
      <c r="R9" s="8">
        <v>0.111410325088829</v>
      </c>
      <c r="S9" s="8">
        <v>0.4</v>
      </c>
      <c r="T9" s="30">
        <v>58.139999999999986</v>
      </c>
    </row>
    <row r="10" spans="1:20">
      <c r="A10" s="15">
        <v>5</v>
      </c>
      <c r="B10" s="6" t="s">
        <v>20</v>
      </c>
      <c r="C10" s="32">
        <v>0</v>
      </c>
      <c r="D10" s="32">
        <v>5</v>
      </c>
      <c r="E10" s="6">
        <v>224.25</v>
      </c>
      <c r="F10" s="6">
        <v>299.01</v>
      </c>
      <c r="G10" s="34">
        <v>4</v>
      </c>
      <c r="H10" s="8">
        <v>3.2266666666666701</v>
      </c>
      <c r="I10" s="8">
        <v>0.50351147903877003</v>
      </c>
      <c r="J10" s="8">
        <v>0.13000610486276101</v>
      </c>
      <c r="K10" s="33">
        <v>4</v>
      </c>
      <c r="L10" s="8">
        <v>2.6733333333333329</v>
      </c>
      <c r="M10" s="8">
        <v>0.56879153432853768</v>
      </c>
      <c r="N10" s="9">
        <f t="shared" si="0"/>
        <v>0.1468613426612127</v>
      </c>
      <c r="O10" s="36">
        <v>4</v>
      </c>
      <c r="P10" s="8">
        <v>2.95</v>
      </c>
      <c r="Q10" s="8">
        <v>0.59812926754143603</v>
      </c>
      <c r="R10" s="8">
        <v>0.109202964045496</v>
      </c>
      <c r="S10" s="8">
        <v>0.5</v>
      </c>
      <c r="T10" s="30">
        <v>74.759999999999991</v>
      </c>
    </row>
    <row r="11" spans="1:20">
      <c r="A11" s="15">
        <v>6</v>
      </c>
      <c r="B11" s="6" t="s">
        <v>21</v>
      </c>
      <c r="C11" s="32">
        <v>0</v>
      </c>
      <c r="D11" s="32">
        <v>6</v>
      </c>
      <c r="E11" s="6">
        <v>218.03</v>
      </c>
      <c r="F11" s="6">
        <v>305.24</v>
      </c>
      <c r="G11" s="34">
        <v>8</v>
      </c>
      <c r="H11" s="8">
        <v>1.98</v>
      </c>
      <c r="I11" s="8">
        <v>0.378342248688746</v>
      </c>
      <c r="J11" s="8">
        <v>9.7687548555878606E-2</v>
      </c>
      <c r="K11" s="33">
        <v>10</v>
      </c>
      <c r="L11" s="8">
        <v>1.9266666666666663</v>
      </c>
      <c r="M11" s="8">
        <v>0.42167466583792523</v>
      </c>
      <c r="N11" s="9">
        <f t="shared" si="0"/>
        <v>0.10887593055385747</v>
      </c>
      <c r="O11" s="36">
        <v>8</v>
      </c>
      <c r="P11" s="8">
        <v>1.95333333333333</v>
      </c>
      <c r="Q11" s="8">
        <v>0.394560718926175</v>
      </c>
      <c r="R11" s="8">
        <v>7.2036602020440599E-2</v>
      </c>
      <c r="S11" s="8">
        <v>0.31428571428571428</v>
      </c>
      <c r="T11" s="30">
        <v>87.210000000000008</v>
      </c>
    </row>
    <row r="12" spans="1:20">
      <c r="A12" s="15">
        <v>7</v>
      </c>
      <c r="B12" s="6" t="s">
        <v>22</v>
      </c>
      <c r="C12" s="32">
        <v>0</v>
      </c>
      <c r="D12" s="32">
        <v>7</v>
      </c>
      <c r="E12" s="6">
        <v>209.3</v>
      </c>
      <c r="F12" s="6">
        <v>313.95999999999998</v>
      </c>
      <c r="G12" s="34">
        <v>2</v>
      </c>
      <c r="H12" s="8">
        <v>3.56666666666667</v>
      </c>
      <c r="I12" s="8">
        <v>0.44507891221134899</v>
      </c>
      <c r="J12" s="8">
        <v>0.114918880982845</v>
      </c>
      <c r="K12" s="33">
        <v>2</v>
      </c>
      <c r="L12" s="8">
        <v>3.3266666666666662</v>
      </c>
      <c r="M12" s="8">
        <v>0.70251249777054625</v>
      </c>
      <c r="N12" s="9">
        <f t="shared" si="0"/>
        <v>0.18138794695786004</v>
      </c>
      <c r="O12" s="36">
        <v>2</v>
      </c>
      <c r="P12" s="8">
        <v>3.4466666666666699</v>
      </c>
      <c r="Q12" s="8">
        <v>0.59057735242337395</v>
      </c>
      <c r="R12" s="8">
        <v>0.10782417929132</v>
      </c>
      <c r="S12" s="8">
        <v>0.66666666666666663</v>
      </c>
      <c r="T12" s="30">
        <v>104.65999999999997</v>
      </c>
    </row>
    <row r="13" spans="1:20">
      <c r="A13" s="15">
        <v>8</v>
      </c>
      <c r="B13" s="6" t="s">
        <v>23</v>
      </c>
      <c r="C13" s="32">
        <v>0</v>
      </c>
      <c r="D13" s="32">
        <v>8</v>
      </c>
      <c r="E13" s="6">
        <v>201.25</v>
      </c>
      <c r="F13" s="6">
        <v>322.01</v>
      </c>
      <c r="G13" s="34">
        <v>7</v>
      </c>
      <c r="H13" s="8">
        <v>2.8133333333333299</v>
      </c>
      <c r="I13" s="8">
        <v>0.37959878568725403</v>
      </c>
      <c r="J13" s="8">
        <v>9.8011985013819594E-2</v>
      </c>
      <c r="K13" s="33">
        <v>7</v>
      </c>
      <c r="L13" s="8">
        <v>2.1399999999999997</v>
      </c>
      <c r="M13" s="8">
        <v>0.55006493123214906</v>
      </c>
      <c r="N13" s="9">
        <f t="shared" si="0"/>
        <v>0.14202615453298942</v>
      </c>
      <c r="O13" s="36">
        <v>7</v>
      </c>
      <c r="P13" s="8">
        <v>2.4766666666666701</v>
      </c>
      <c r="Q13" s="8">
        <v>0.57696192029566795</v>
      </c>
      <c r="R13" s="8">
        <v>0.105338352855812</v>
      </c>
      <c r="S13" s="8">
        <v>0.3</v>
      </c>
      <c r="T13" s="30">
        <v>120.75999999999999</v>
      </c>
    </row>
    <row r="14" spans="1:20">
      <c r="A14" s="15">
        <v>9</v>
      </c>
      <c r="B14" s="6" t="s">
        <v>24</v>
      </c>
      <c r="C14" s="32">
        <v>0</v>
      </c>
      <c r="D14" s="32">
        <v>9</v>
      </c>
      <c r="E14" s="6">
        <v>196.22</v>
      </c>
      <c r="F14" s="6">
        <v>327.04000000000002</v>
      </c>
      <c r="G14" s="34">
        <v>5</v>
      </c>
      <c r="H14" s="8">
        <v>3.1733333333333298</v>
      </c>
      <c r="I14" s="8">
        <v>0.31728010758108799</v>
      </c>
      <c r="J14" s="8">
        <v>8.1921371516296707E-2</v>
      </c>
      <c r="K14" s="33">
        <v>6</v>
      </c>
      <c r="L14" s="8">
        <v>2.253333333333333</v>
      </c>
      <c r="M14" s="8">
        <v>0.64792709760398604</v>
      </c>
      <c r="N14" s="9">
        <f t="shared" si="0"/>
        <v>0.1672940572384497</v>
      </c>
      <c r="O14" s="36">
        <v>5</v>
      </c>
      <c r="P14" s="8">
        <v>2.7133333333333298</v>
      </c>
      <c r="Q14" s="8">
        <v>0.68568281263294795</v>
      </c>
      <c r="R14" s="8">
        <v>0.12518798125755101</v>
      </c>
      <c r="S14" s="8">
        <v>0.46666666666666667</v>
      </c>
      <c r="T14" s="30">
        <v>130.82000000000002</v>
      </c>
    </row>
    <row r="15" spans="1:20">
      <c r="A15" s="15">
        <v>10</v>
      </c>
      <c r="B15" s="6" t="s">
        <v>25</v>
      </c>
      <c r="C15" s="32">
        <v>0</v>
      </c>
      <c r="D15" s="32">
        <v>10</v>
      </c>
      <c r="E15" s="6">
        <v>186.88</v>
      </c>
      <c r="F15" s="6">
        <v>336.38</v>
      </c>
      <c r="G15" s="34">
        <v>9</v>
      </c>
      <c r="H15" s="8">
        <v>1.8333333333333299</v>
      </c>
      <c r="I15" s="8">
        <v>0.28702082220799302</v>
      </c>
      <c r="J15" s="8">
        <v>7.4108457628421096E-2</v>
      </c>
      <c r="K15" s="33">
        <v>11</v>
      </c>
      <c r="L15" s="8">
        <v>1.6733333333333331</v>
      </c>
      <c r="M15" s="8">
        <v>0.41311822359545902</v>
      </c>
      <c r="N15" s="9">
        <f t="shared" si="0"/>
        <v>0.10666666666666698</v>
      </c>
      <c r="O15" s="36">
        <v>10</v>
      </c>
      <c r="P15" s="8">
        <v>1.7533333333333301</v>
      </c>
      <c r="Q15" s="8">
        <v>0.35886154599706299</v>
      </c>
      <c r="R15" s="8">
        <v>6.55188545879231E-2</v>
      </c>
      <c r="S15" s="8">
        <v>0.28888888888888886</v>
      </c>
      <c r="T15" s="30">
        <v>149.5</v>
      </c>
    </row>
    <row r="16" spans="1:20">
      <c r="A16" s="15">
        <v>11</v>
      </c>
      <c r="B16" s="6" t="s">
        <v>26</v>
      </c>
      <c r="C16" s="32">
        <v>0</v>
      </c>
      <c r="D16" s="32">
        <v>11</v>
      </c>
      <c r="E16" s="6">
        <v>182</v>
      </c>
      <c r="F16" s="6">
        <v>341.26</v>
      </c>
      <c r="G16" s="34">
        <v>11</v>
      </c>
      <c r="H16" s="8">
        <v>1.54</v>
      </c>
      <c r="I16" s="8">
        <v>0.39605194464507198</v>
      </c>
      <c r="J16" s="8">
        <v>0.102260172389562</v>
      </c>
      <c r="K16" s="33">
        <v>8</v>
      </c>
      <c r="L16" s="8">
        <v>1.9666666666666663</v>
      </c>
      <c r="M16" s="8">
        <v>0.59361683970466517</v>
      </c>
      <c r="N16" s="9">
        <f t="shared" si="0"/>
        <v>0.15327120894696306</v>
      </c>
      <c r="O16" s="36">
        <v>10</v>
      </c>
      <c r="P16" s="8">
        <v>1.7533333333333301</v>
      </c>
      <c r="Q16" s="8">
        <v>0.54122041741778903</v>
      </c>
      <c r="R16" s="8">
        <v>9.8812877067361596E-2</v>
      </c>
      <c r="S16" s="8">
        <v>0.18333333333333332</v>
      </c>
      <c r="T16" s="30">
        <v>159.26</v>
      </c>
    </row>
    <row r="17" spans="1:20">
      <c r="A17" s="15">
        <v>12</v>
      </c>
      <c r="B17" s="7" t="s">
        <v>27</v>
      </c>
      <c r="C17" s="32">
        <v>0</v>
      </c>
      <c r="D17" s="32">
        <v>12</v>
      </c>
      <c r="E17" s="6">
        <v>174.42</v>
      </c>
      <c r="F17" s="6">
        <v>348.84</v>
      </c>
      <c r="G17" s="34">
        <v>1</v>
      </c>
      <c r="H17" s="8">
        <v>4</v>
      </c>
      <c r="I17" s="8">
        <v>0</v>
      </c>
      <c r="J17" s="8">
        <v>0</v>
      </c>
      <c r="K17" s="33">
        <v>1</v>
      </c>
      <c r="L17" s="8">
        <v>3.7866666666666666</v>
      </c>
      <c r="M17" s="8">
        <v>0.36226798814978839</v>
      </c>
      <c r="N17" s="9">
        <f t="shared" si="0"/>
        <v>9.3537192331213076E-2</v>
      </c>
      <c r="O17" s="36">
        <v>1</v>
      </c>
      <c r="P17" s="8">
        <v>3.89333333333333</v>
      </c>
      <c r="Q17" s="8">
        <v>0.27409202246984399</v>
      </c>
      <c r="R17" s="8">
        <v>5.0042127846315398E-2</v>
      </c>
      <c r="S17" s="8">
        <v>1</v>
      </c>
      <c r="T17" s="30">
        <v>174.42</v>
      </c>
    </row>
    <row r="18" spans="1:20">
      <c r="A18" s="21"/>
      <c r="B18" s="1"/>
      <c r="C18" s="21"/>
      <c r="D18" s="21"/>
      <c r="E18" s="21"/>
      <c r="F18" s="21"/>
      <c r="G18" s="22"/>
      <c r="H18" s="23"/>
      <c r="I18" s="23"/>
      <c r="J18" s="23"/>
      <c r="K18" s="24"/>
      <c r="L18" s="23"/>
      <c r="M18" s="23"/>
      <c r="N18" s="25"/>
      <c r="O18" s="26"/>
      <c r="P18" s="21"/>
      <c r="Q18" s="21"/>
      <c r="R18" s="21"/>
      <c r="S18" s="21"/>
      <c r="T18" s="21"/>
    </row>
    <row r="19" spans="1:20">
      <c r="A19" s="21"/>
      <c r="B19" s="1"/>
      <c r="C19" s="21"/>
      <c r="D19" s="21"/>
      <c r="E19" s="21"/>
      <c r="F19" s="21"/>
      <c r="G19" s="22"/>
      <c r="H19" s="23"/>
      <c r="I19" s="23"/>
      <c r="J19" s="23"/>
      <c r="K19" s="24"/>
      <c r="L19" s="23"/>
      <c r="M19" s="23"/>
      <c r="N19" s="25"/>
      <c r="O19" s="26"/>
      <c r="P19" s="21"/>
      <c r="Q19" s="21"/>
      <c r="R19" s="21"/>
      <c r="S19" s="21"/>
      <c r="T19" s="21"/>
    </row>
    <row r="20" spans="1:20" ht="15" customHeight="1"/>
    <row r="21" spans="1:20" ht="15" customHeight="1"/>
    <row r="22" spans="1:20" ht="15" customHeight="1"/>
    <row r="91" spans="1:24" ht="15" customHeight="1">
      <c r="A91" s="28"/>
      <c r="B91" s="28"/>
    </row>
    <row r="92" spans="1:24" ht="1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 spans="1:24" ht="15" customHeight="1"/>
  </sheetData>
  <mergeCells count="10">
    <mergeCell ref="A1:T2"/>
    <mergeCell ref="S3:S5"/>
    <mergeCell ref="T3:T5"/>
    <mergeCell ref="O3:R4"/>
    <mergeCell ref="A3:A4"/>
    <mergeCell ref="B3:B4"/>
    <mergeCell ref="G3:J4"/>
    <mergeCell ref="K3:N4"/>
    <mergeCell ref="E3:F4"/>
    <mergeCell ref="C3:D4"/>
  </mergeCells>
  <phoneticPr fontId="13" type="noConversion"/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"/>
  <sheetViews>
    <sheetView tabSelected="1" zoomScale="75" zoomScaleNormal="75" zoomScalePageLayoutView="75" workbookViewId="0">
      <selection activeCell="H10" sqref="H10"/>
    </sheetView>
  </sheetViews>
  <sheetFormatPr baseColWidth="10" defaultRowHeight="15" x14ac:dyDescent="0"/>
  <cols>
    <col min="2" max="2" width="17.83203125" customWidth="1"/>
    <col min="3" max="3" width="6.83203125" customWidth="1"/>
    <col min="4" max="5" width="7" customWidth="1"/>
    <col min="6" max="20" width="6.1640625" customWidth="1"/>
  </cols>
  <sheetData>
    <row r="1" spans="1:22">
      <c r="A1" s="58" t="s">
        <v>98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60"/>
    </row>
    <row r="2" spans="1:22">
      <c r="A2" s="61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</row>
    <row r="3" spans="1:22">
      <c r="A3" s="57" t="s">
        <v>11</v>
      </c>
      <c r="B3" s="57" t="s">
        <v>6</v>
      </c>
      <c r="C3" s="57" t="s">
        <v>2</v>
      </c>
      <c r="D3" s="57"/>
      <c r="E3" s="57"/>
      <c r="F3" s="57" t="s">
        <v>1</v>
      </c>
      <c r="G3" s="57"/>
      <c r="H3" s="57"/>
      <c r="I3" s="55" t="s">
        <v>31</v>
      </c>
      <c r="J3" s="55"/>
      <c r="K3" s="55"/>
      <c r="L3" s="55"/>
      <c r="M3" s="55" t="s">
        <v>32</v>
      </c>
      <c r="N3" s="55"/>
      <c r="O3" s="55"/>
      <c r="P3" s="55"/>
      <c r="Q3" s="55" t="s">
        <v>30</v>
      </c>
      <c r="R3" s="55"/>
      <c r="S3" s="55"/>
      <c r="T3" s="55"/>
      <c r="U3" s="53" t="s">
        <v>40</v>
      </c>
      <c r="V3" s="53" t="s">
        <v>39</v>
      </c>
    </row>
    <row r="4" spans="1:22">
      <c r="A4" s="57"/>
      <c r="B4" s="57"/>
      <c r="C4" s="57"/>
      <c r="D4" s="57"/>
      <c r="E4" s="57"/>
      <c r="F4" s="57"/>
      <c r="G4" s="57"/>
      <c r="H4" s="57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3"/>
      <c r="V4" s="53"/>
    </row>
    <row r="5" spans="1:22">
      <c r="A5" s="5"/>
      <c r="B5" s="5"/>
      <c r="C5" s="42" t="s">
        <v>7</v>
      </c>
      <c r="D5" s="42" t="s">
        <v>8</v>
      </c>
      <c r="E5" s="42" t="s">
        <v>9</v>
      </c>
      <c r="F5" s="42" t="s">
        <v>7</v>
      </c>
      <c r="G5" s="42" t="s">
        <v>8</v>
      </c>
      <c r="H5" s="42" t="s">
        <v>9</v>
      </c>
      <c r="I5" s="43" t="s">
        <v>0</v>
      </c>
      <c r="J5" s="44" t="s">
        <v>3</v>
      </c>
      <c r="K5" s="44" t="s">
        <v>4</v>
      </c>
      <c r="L5" s="44" t="s">
        <v>5</v>
      </c>
      <c r="M5" s="45" t="s">
        <v>0</v>
      </c>
      <c r="N5" s="44" t="s">
        <v>3</v>
      </c>
      <c r="O5" s="44" t="s">
        <v>4</v>
      </c>
      <c r="P5" s="44" t="s">
        <v>5</v>
      </c>
      <c r="Q5" s="43" t="s">
        <v>0</v>
      </c>
      <c r="R5" s="44" t="s">
        <v>3</v>
      </c>
      <c r="S5" s="44" t="s">
        <v>4</v>
      </c>
      <c r="T5" s="44" t="s">
        <v>5</v>
      </c>
      <c r="U5" s="53"/>
      <c r="V5" s="53"/>
    </row>
    <row r="6" spans="1:22">
      <c r="A6" s="27">
        <v>1</v>
      </c>
      <c r="B6" s="6"/>
      <c r="C6" s="31">
        <v>0</v>
      </c>
      <c r="D6" s="31">
        <v>1</v>
      </c>
      <c r="E6" s="31">
        <v>2</v>
      </c>
      <c r="F6" s="6">
        <v>245.92</v>
      </c>
      <c r="G6" s="6">
        <v>262.31</v>
      </c>
      <c r="H6" s="6">
        <v>276.66000000000003</v>
      </c>
      <c r="I6" s="34">
        <v>35</v>
      </c>
      <c r="J6" s="8">
        <v>1.06666666666667</v>
      </c>
      <c r="K6" s="8">
        <v>0.25819888974716099</v>
      </c>
      <c r="L6" s="8">
        <v>6.6666666666666693E-2</v>
      </c>
      <c r="M6" s="33">
        <v>32</v>
      </c>
      <c r="N6" s="8">
        <v>1.0666666666666667</v>
      </c>
      <c r="O6" s="8">
        <v>0.25819888974716115</v>
      </c>
      <c r="P6" s="8">
        <f t="shared" ref="P6:P69" si="0">O6/SQRT(15)</f>
        <v>6.6666666666666666E-2</v>
      </c>
      <c r="Q6" s="36">
        <v>46</v>
      </c>
      <c r="R6" s="6">
        <v>1.06666666666667</v>
      </c>
      <c r="S6" s="6">
        <v>0.25370813170246298</v>
      </c>
      <c r="T6" s="6">
        <v>4.6320555585310098E-2</v>
      </c>
      <c r="U6" s="35">
        <v>2.210648148148148E-2</v>
      </c>
      <c r="V6" s="30">
        <v>14.350000000000023</v>
      </c>
    </row>
    <row r="7" spans="1:22">
      <c r="A7" s="27">
        <v>2</v>
      </c>
      <c r="B7" s="10"/>
      <c r="C7" s="31">
        <v>0</v>
      </c>
      <c r="D7" s="31">
        <v>1</v>
      </c>
      <c r="E7" s="31">
        <v>3</v>
      </c>
      <c r="F7" s="6">
        <v>240.27</v>
      </c>
      <c r="G7" s="6">
        <v>256.29000000000002</v>
      </c>
      <c r="H7" s="6">
        <v>288.33</v>
      </c>
      <c r="I7" s="34">
        <v>28</v>
      </c>
      <c r="J7" s="8">
        <v>1.6</v>
      </c>
      <c r="K7" s="8">
        <v>0.63245553203367599</v>
      </c>
      <c r="L7" s="8">
        <v>0.163299316185545</v>
      </c>
      <c r="M7" s="33">
        <v>23</v>
      </c>
      <c r="N7" s="8">
        <v>1.7333333333333334</v>
      </c>
      <c r="O7" s="8">
        <v>0.88371510168853673</v>
      </c>
      <c r="P7" s="8">
        <f t="shared" si="0"/>
        <v>0.22817425810877978</v>
      </c>
      <c r="Q7" s="36">
        <v>34</v>
      </c>
      <c r="R7" s="6">
        <v>1.6666666666666701</v>
      </c>
      <c r="S7" s="6">
        <v>0.75809804357890298</v>
      </c>
      <c r="T7" s="6">
        <v>0.13840913308956701</v>
      </c>
      <c r="U7" s="35">
        <v>0.16388888888888889</v>
      </c>
      <c r="V7" s="30">
        <v>16.02000000000001</v>
      </c>
    </row>
    <row r="8" spans="1:22">
      <c r="A8" s="27">
        <v>3</v>
      </c>
      <c r="B8" s="10"/>
      <c r="C8" s="31">
        <v>0</v>
      </c>
      <c r="D8" s="31">
        <v>1</v>
      </c>
      <c r="E8" s="31">
        <v>4</v>
      </c>
      <c r="F8" s="6">
        <v>236.65</v>
      </c>
      <c r="G8" s="6">
        <v>252.43</v>
      </c>
      <c r="H8" s="6">
        <v>295.81</v>
      </c>
      <c r="I8" s="34">
        <v>31</v>
      </c>
      <c r="J8" s="8">
        <v>1.4</v>
      </c>
      <c r="K8" s="8">
        <v>0.50709255283710997</v>
      </c>
      <c r="L8" s="8">
        <v>0.13093073414159501</v>
      </c>
      <c r="M8" s="33">
        <v>25</v>
      </c>
      <c r="N8" s="8">
        <v>1.6</v>
      </c>
      <c r="O8" s="8">
        <v>0.63245553203367588</v>
      </c>
      <c r="P8" s="8">
        <f t="shared" si="0"/>
        <v>0.16329931618554522</v>
      </c>
      <c r="Q8" s="36">
        <v>38</v>
      </c>
      <c r="R8" s="6">
        <v>1.5</v>
      </c>
      <c r="S8" s="6">
        <v>0.572351471472339</v>
      </c>
      <c r="T8" s="6">
        <v>0.104496603915558</v>
      </c>
      <c r="U8" s="35">
        <v>4.1250000000000002E-2</v>
      </c>
      <c r="V8" s="30">
        <v>15.780000000000001</v>
      </c>
    </row>
    <row r="9" spans="1:22">
      <c r="A9" s="27">
        <v>4</v>
      </c>
      <c r="B9" s="10"/>
      <c r="C9" s="31">
        <v>0</v>
      </c>
      <c r="D9" s="31">
        <v>1</v>
      </c>
      <c r="E9" s="31">
        <v>5</v>
      </c>
      <c r="F9" s="6">
        <v>230.85</v>
      </c>
      <c r="G9" s="6">
        <v>246.24</v>
      </c>
      <c r="H9" s="6">
        <v>307.8</v>
      </c>
      <c r="I9" s="34">
        <v>22</v>
      </c>
      <c r="J9" s="8">
        <v>2</v>
      </c>
      <c r="K9" s="8">
        <v>0.75592894601845395</v>
      </c>
      <c r="L9" s="8">
        <v>0.19518001458970699</v>
      </c>
      <c r="M9" s="33">
        <v>16</v>
      </c>
      <c r="N9" s="8">
        <v>2.2000000000000002</v>
      </c>
      <c r="O9" s="8">
        <v>0.56061191058138848</v>
      </c>
      <c r="P9" s="8">
        <f t="shared" si="0"/>
        <v>0.14474937289114928</v>
      </c>
      <c r="Q9" s="36">
        <v>26</v>
      </c>
      <c r="R9" s="6">
        <v>2.1</v>
      </c>
      <c r="S9" s="6">
        <v>0.66176357899385696</v>
      </c>
      <c r="T9" s="6">
        <v>0.120820946650096</v>
      </c>
      <c r="U9" s="35">
        <v>0.15</v>
      </c>
      <c r="V9" s="30">
        <v>15.390000000000015</v>
      </c>
    </row>
    <row r="10" spans="1:22">
      <c r="A10" s="27">
        <v>5</v>
      </c>
      <c r="B10" s="10" t="s">
        <v>33</v>
      </c>
      <c r="C10" s="31">
        <v>0</v>
      </c>
      <c r="D10" s="31">
        <v>1</v>
      </c>
      <c r="E10" s="31">
        <v>6</v>
      </c>
      <c r="F10" s="6">
        <v>226.41</v>
      </c>
      <c r="G10" s="6">
        <v>241.5</v>
      </c>
      <c r="H10" s="6">
        <v>316.97000000000003</v>
      </c>
      <c r="I10" s="34">
        <v>30</v>
      </c>
      <c r="J10" s="8">
        <v>1.4666666666666699</v>
      </c>
      <c r="K10" s="8">
        <v>0.51639777949432197</v>
      </c>
      <c r="L10" s="8">
        <v>0.133333333333333</v>
      </c>
      <c r="M10" s="33">
        <v>17</v>
      </c>
      <c r="N10" s="8">
        <v>2.1333333333333333</v>
      </c>
      <c r="O10" s="8">
        <v>0.51639777949432231</v>
      </c>
      <c r="P10" s="8">
        <f t="shared" si="0"/>
        <v>0.13333333333333333</v>
      </c>
      <c r="Q10" s="36">
        <v>32</v>
      </c>
      <c r="R10" s="6">
        <v>1.8</v>
      </c>
      <c r="S10" s="6">
        <v>0.61025715325872898</v>
      </c>
      <c r="T10" s="6">
        <v>0.111417202906231</v>
      </c>
      <c r="U10" s="35">
        <v>0.16071428571428573</v>
      </c>
      <c r="V10" s="30">
        <v>15.090000000000003</v>
      </c>
    </row>
    <row r="11" spans="1:22">
      <c r="A11" s="27">
        <v>6</v>
      </c>
      <c r="B11" s="10"/>
      <c r="C11" s="31">
        <v>0</v>
      </c>
      <c r="D11" s="31">
        <v>1</v>
      </c>
      <c r="E11" s="31">
        <v>7</v>
      </c>
      <c r="F11" s="6">
        <v>220.06</v>
      </c>
      <c r="G11" s="6">
        <v>234.73</v>
      </c>
      <c r="H11" s="6">
        <v>330.09</v>
      </c>
      <c r="I11" s="34">
        <v>32</v>
      </c>
      <c r="J11" s="8">
        <v>1.2666666666666699</v>
      </c>
      <c r="K11" s="8">
        <v>0.457737708217064</v>
      </c>
      <c r="L11" s="8">
        <v>0.118187368057056</v>
      </c>
      <c r="M11" s="33">
        <v>26</v>
      </c>
      <c r="N11" s="8">
        <v>1.5333333333333334</v>
      </c>
      <c r="O11" s="8">
        <v>0.51639777949432231</v>
      </c>
      <c r="P11" s="8">
        <f t="shared" si="0"/>
        <v>0.13333333333333333</v>
      </c>
      <c r="Q11" s="36">
        <v>40</v>
      </c>
      <c r="R11" s="6">
        <v>1.4</v>
      </c>
      <c r="S11" s="6">
        <v>0.49827287912244</v>
      </c>
      <c r="T11" s="6">
        <v>9.0971765229468399E-2</v>
      </c>
      <c r="U11" s="35">
        <v>7.3611111111111113E-2</v>
      </c>
      <c r="V11" s="30">
        <v>14.669999999999987</v>
      </c>
    </row>
    <row r="12" spans="1:22">
      <c r="A12" s="27">
        <v>7</v>
      </c>
      <c r="B12" s="10"/>
      <c r="C12" s="31">
        <v>0</v>
      </c>
      <c r="D12" s="31">
        <v>1</v>
      </c>
      <c r="E12" s="31">
        <v>8</v>
      </c>
      <c r="F12" s="6">
        <v>214.06</v>
      </c>
      <c r="G12" s="6">
        <v>228.33</v>
      </c>
      <c r="H12" s="6">
        <v>342.5</v>
      </c>
      <c r="I12" s="34">
        <v>28</v>
      </c>
      <c r="J12" s="8">
        <v>1.6</v>
      </c>
      <c r="K12" s="8">
        <v>0.50709255283710997</v>
      </c>
      <c r="L12" s="8">
        <v>0.13093073414159501</v>
      </c>
      <c r="M12" s="33">
        <v>28</v>
      </c>
      <c r="N12" s="8">
        <v>1.3333333333333333</v>
      </c>
      <c r="O12" s="8">
        <v>0.48795003647426649</v>
      </c>
      <c r="P12" s="8">
        <f t="shared" si="0"/>
        <v>0.12598815766974239</v>
      </c>
      <c r="Q12" s="36">
        <v>39</v>
      </c>
      <c r="R12" s="6">
        <v>1.4666666666666699</v>
      </c>
      <c r="S12" s="6">
        <v>0.50741626340492496</v>
      </c>
      <c r="T12" s="6">
        <v>9.2641111170620197E-2</v>
      </c>
      <c r="U12" s="35">
        <v>0.14166666666666666</v>
      </c>
      <c r="V12" s="30">
        <v>14.27000000000001</v>
      </c>
    </row>
    <row r="13" spans="1:22">
      <c r="A13" s="27">
        <v>8</v>
      </c>
      <c r="B13" s="10"/>
      <c r="C13" s="31">
        <v>0</v>
      </c>
      <c r="D13" s="31">
        <v>1</v>
      </c>
      <c r="E13" s="31">
        <v>9</v>
      </c>
      <c r="F13" s="6">
        <v>210.24</v>
      </c>
      <c r="G13" s="6">
        <v>224.25</v>
      </c>
      <c r="H13" s="6">
        <v>350.4</v>
      </c>
      <c r="I13" s="34">
        <v>33</v>
      </c>
      <c r="J13" s="8">
        <v>1.2</v>
      </c>
      <c r="K13" s="8">
        <v>0.41403933560541301</v>
      </c>
      <c r="L13" s="8">
        <v>0.10690449676497001</v>
      </c>
      <c r="M13" s="33">
        <v>28</v>
      </c>
      <c r="N13" s="8">
        <v>1.3333333333333333</v>
      </c>
      <c r="O13" s="8">
        <v>0.48795003647426649</v>
      </c>
      <c r="P13" s="8">
        <f t="shared" si="0"/>
        <v>0.12598815766974239</v>
      </c>
      <c r="Q13" s="36">
        <v>42</v>
      </c>
      <c r="R13" s="6">
        <v>1.2666666666666699</v>
      </c>
      <c r="S13" s="6">
        <v>0.44977644510880399</v>
      </c>
      <c r="T13" s="6">
        <v>8.2117568273525302E-2</v>
      </c>
      <c r="U13" s="35">
        <v>0.15</v>
      </c>
      <c r="V13" s="30">
        <v>14.009999999999991</v>
      </c>
    </row>
    <row r="14" spans="1:22">
      <c r="A14" s="27">
        <v>9</v>
      </c>
      <c r="B14" s="10"/>
      <c r="C14" s="31">
        <v>0</v>
      </c>
      <c r="D14" s="31">
        <v>1</v>
      </c>
      <c r="E14" s="31">
        <v>10</v>
      </c>
      <c r="F14" s="6">
        <v>202.99</v>
      </c>
      <c r="G14" s="6">
        <v>216.52</v>
      </c>
      <c r="H14" s="6">
        <v>365.38</v>
      </c>
      <c r="I14" s="34">
        <v>33</v>
      </c>
      <c r="J14" s="8">
        <v>1.2</v>
      </c>
      <c r="K14" s="8">
        <v>0.41403933560541301</v>
      </c>
      <c r="L14" s="8">
        <v>0.10690449676497001</v>
      </c>
      <c r="M14" s="33">
        <v>31</v>
      </c>
      <c r="N14" s="8">
        <v>1.1333333333333333</v>
      </c>
      <c r="O14" s="8">
        <v>0.35186577527449853</v>
      </c>
      <c r="P14" s="8">
        <f t="shared" si="0"/>
        <v>9.0851352515899611E-2</v>
      </c>
      <c r="Q14" s="36">
        <v>45</v>
      </c>
      <c r="R14" s="6">
        <v>1.1666666666666701</v>
      </c>
      <c r="S14" s="6">
        <v>0.37904902178945199</v>
      </c>
      <c r="T14" s="6">
        <v>6.9204566544783297E-2</v>
      </c>
      <c r="U14" s="35">
        <v>0.15277777777777779</v>
      </c>
      <c r="V14" s="30">
        <v>13.530000000000001</v>
      </c>
    </row>
    <row r="15" spans="1:22">
      <c r="A15" s="27">
        <v>10</v>
      </c>
      <c r="B15" s="10"/>
      <c r="C15" s="31">
        <v>0</v>
      </c>
      <c r="D15" s="31">
        <v>1</v>
      </c>
      <c r="E15" s="31">
        <v>11</v>
      </c>
      <c r="F15" s="6">
        <v>199.13</v>
      </c>
      <c r="G15" s="6">
        <v>212.4</v>
      </c>
      <c r="H15" s="6">
        <v>373.36</v>
      </c>
      <c r="I15" s="34">
        <v>34</v>
      </c>
      <c r="J15" s="8">
        <v>1.13333333333333</v>
      </c>
      <c r="K15" s="8">
        <v>0.35186577527449803</v>
      </c>
      <c r="L15" s="8">
        <v>9.0851352515899597E-2</v>
      </c>
      <c r="M15" s="33">
        <v>29</v>
      </c>
      <c r="N15" s="8">
        <v>1.2666666666666666</v>
      </c>
      <c r="O15" s="8">
        <v>0.59361683970466372</v>
      </c>
      <c r="P15" s="8">
        <f t="shared" si="0"/>
        <v>0.15327120894696269</v>
      </c>
      <c r="Q15" s="36">
        <v>44</v>
      </c>
      <c r="R15" s="6">
        <v>1.2</v>
      </c>
      <c r="S15" s="6">
        <v>0.48423419811150198</v>
      </c>
      <c r="T15" s="6">
        <v>8.8408664473698398E-2</v>
      </c>
      <c r="U15" s="35">
        <v>1.951388888888889E-2</v>
      </c>
      <c r="V15" s="30">
        <v>13.27000000000001</v>
      </c>
    </row>
    <row r="16" spans="1:22">
      <c r="A16" s="27">
        <v>11</v>
      </c>
      <c r="B16" s="10"/>
      <c r="C16" s="31">
        <v>0</v>
      </c>
      <c r="D16" s="31">
        <v>1</v>
      </c>
      <c r="E16" s="31">
        <v>12</v>
      </c>
      <c r="F16" s="6">
        <v>193.01</v>
      </c>
      <c r="G16" s="6">
        <v>205.87</v>
      </c>
      <c r="H16" s="6">
        <v>386.01</v>
      </c>
      <c r="I16" s="34">
        <v>31</v>
      </c>
      <c r="J16" s="8">
        <v>1.4</v>
      </c>
      <c r="K16" s="8">
        <v>0.63245553203367599</v>
      </c>
      <c r="L16" s="8">
        <v>0.163299316185545</v>
      </c>
      <c r="M16" s="33">
        <v>26</v>
      </c>
      <c r="N16" s="8">
        <v>1.5333333333333334</v>
      </c>
      <c r="O16" s="8">
        <v>0.51639777949432231</v>
      </c>
      <c r="P16" s="8">
        <f t="shared" si="0"/>
        <v>0.13333333333333333</v>
      </c>
      <c r="Q16" s="36">
        <v>39</v>
      </c>
      <c r="R16" s="6">
        <v>1.4666666666666699</v>
      </c>
      <c r="S16" s="6">
        <v>0.57134646372336595</v>
      </c>
      <c r="T16" s="6">
        <v>0.104313115444032</v>
      </c>
      <c r="U16" s="35">
        <v>0.125</v>
      </c>
      <c r="V16" s="30">
        <v>12.860000000000014</v>
      </c>
    </row>
    <row r="17" spans="1:22">
      <c r="A17" s="27">
        <v>12</v>
      </c>
      <c r="B17" s="10"/>
      <c r="C17" s="31">
        <v>0</v>
      </c>
      <c r="D17" s="31">
        <v>2</v>
      </c>
      <c r="E17" s="31">
        <v>3</v>
      </c>
      <c r="F17" s="6">
        <v>236.06</v>
      </c>
      <c r="G17" s="6">
        <v>265.56</v>
      </c>
      <c r="H17" s="6">
        <v>283.27</v>
      </c>
      <c r="I17" s="34">
        <v>29</v>
      </c>
      <c r="J17" s="8">
        <v>1.5333333333333301</v>
      </c>
      <c r="K17" s="8">
        <v>0.51639777949432197</v>
      </c>
      <c r="L17" s="8">
        <v>0.133333333333333</v>
      </c>
      <c r="M17" s="33">
        <v>24</v>
      </c>
      <c r="N17" s="8">
        <v>1.6666666666666667</v>
      </c>
      <c r="O17" s="8">
        <v>0.89973541084243747</v>
      </c>
      <c r="P17" s="8">
        <f t="shared" si="0"/>
        <v>0.23231068414572323</v>
      </c>
      <c r="Q17" s="36">
        <v>36</v>
      </c>
      <c r="R17" s="6">
        <v>1.6</v>
      </c>
      <c r="S17" s="6">
        <v>0.72397370880059098</v>
      </c>
      <c r="T17" s="6">
        <v>0.13217891045025301</v>
      </c>
      <c r="U17" s="35">
        <v>6.1111111111111109E-2</v>
      </c>
      <c r="V17" s="30">
        <v>17.70999999999998</v>
      </c>
    </row>
    <row r="18" spans="1:22">
      <c r="A18" s="27">
        <v>13</v>
      </c>
      <c r="B18" s="10"/>
      <c r="C18" s="31">
        <v>0</v>
      </c>
      <c r="D18" s="31">
        <v>2</v>
      </c>
      <c r="E18" s="31">
        <v>4</v>
      </c>
      <c r="F18" s="6">
        <v>232.56</v>
      </c>
      <c r="G18" s="6">
        <v>261.63</v>
      </c>
      <c r="H18" s="6">
        <v>290.7</v>
      </c>
      <c r="I18" s="34">
        <v>12</v>
      </c>
      <c r="J18" s="8">
        <v>2.7333333333333298</v>
      </c>
      <c r="K18" s="8">
        <v>0.96115010472325502</v>
      </c>
      <c r="L18" s="8">
        <v>0.24816788991991201</v>
      </c>
      <c r="M18" s="33">
        <v>12</v>
      </c>
      <c r="N18" s="8">
        <v>2.4666666666666668</v>
      </c>
      <c r="O18" s="8">
        <v>0.63994047342218441</v>
      </c>
      <c r="P18" s="8">
        <f t="shared" si="0"/>
        <v>0.16523191974188067</v>
      </c>
      <c r="Q18" s="36">
        <v>14</v>
      </c>
      <c r="R18" s="6">
        <v>2.6</v>
      </c>
      <c r="S18" s="6">
        <v>0.81367620434497301</v>
      </c>
      <c r="T18" s="6">
        <v>0.148556270541642</v>
      </c>
      <c r="U18" s="35">
        <v>0.28888888888888886</v>
      </c>
      <c r="V18" s="30">
        <v>29.069999999999993</v>
      </c>
    </row>
    <row r="19" spans="1:22">
      <c r="A19" s="16">
        <v>14</v>
      </c>
      <c r="B19" s="2"/>
      <c r="C19" s="31">
        <v>0</v>
      </c>
      <c r="D19" s="31">
        <v>2</v>
      </c>
      <c r="E19" s="31">
        <v>5</v>
      </c>
      <c r="F19" s="11">
        <v>226.96</v>
      </c>
      <c r="G19" s="11">
        <v>255.33</v>
      </c>
      <c r="H19" s="11">
        <v>302.61</v>
      </c>
      <c r="I19" s="34">
        <v>10</v>
      </c>
      <c r="J19" s="8">
        <v>2.93333333333333</v>
      </c>
      <c r="K19" s="8">
        <v>0.59361683970466395</v>
      </c>
      <c r="L19" s="8">
        <v>0.153271208946963</v>
      </c>
      <c r="M19" s="33">
        <v>12</v>
      </c>
      <c r="N19" s="8">
        <v>2.4666666666666668</v>
      </c>
      <c r="O19" s="8">
        <v>0.91547541643412689</v>
      </c>
      <c r="P19" s="8">
        <f t="shared" si="0"/>
        <v>0.23637473611411153</v>
      </c>
      <c r="Q19" s="36">
        <v>12</v>
      </c>
      <c r="R19" s="6">
        <v>2.7</v>
      </c>
      <c r="S19" s="6">
        <v>0.79437678890978503</v>
      </c>
      <c r="T19" s="6">
        <v>0.14503269548146999</v>
      </c>
      <c r="U19" s="35">
        <v>9.4907407407407413E-2</v>
      </c>
      <c r="V19" s="30">
        <v>28.370000000000005</v>
      </c>
    </row>
    <row r="20" spans="1:22">
      <c r="A20" s="16">
        <v>15</v>
      </c>
      <c r="B20" s="2"/>
      <c r="C20" s="31">
        <v>0</v>
      </c>
      <c r="D20" s="31">
        <v>2</v>
      </c>
      <c r="E20" s="31">
        <v>6</v>
      </c>
      <c r="F20" s="11">
        <v>222.66</v>
      </c>
      <c r="G20" s="11">
        <v>250.5</v>
      </c>
      <c r="H20" s="11">
        <v>311.73</v>
      </c>
      <c r="I20" s="34">
        <v>13</v>
      </c>
      <c r="J20" s="8">
        <v>2.6</v>
      </c>
      <c r="K20" s="8">
        <v>0.50709255283710997</v>
      </c>
      <c r="L20" s="8">
        <v>0.13093073414159501</v>
      </c>
      <c r="M20" s="33">
        <v>17</v>
      </c>
      <c r="N20" s="8">
        <v>2.1333333333333333</v>
      </c>
      <c r="O20" s="8">
        <v>0.63994047342218441</v>
      </c>
      <c r="P20" s="8">
        <f t="shared" si="0"/>
        <v>0.16523191974188067</v>
      </c>
      <c r="Q20" s="36">
        <v>19</v>
      </c>
      <c r="R20" s="6">
        <v>2.3666666666666698</v>
      </c>
      <c r="S20" s="6">
        <v>0.61494789985837806</v>
      </c>
      <c r="T20" s="6">
        <v>0.11227361214762099</v>
      </c>
      <c r="U20" s="35">
        <v>5.873015873015873E-2</v>
      </c>
      <c r="V20" s="30">
        <v>27.840000000000003</v>
      </c>
    </row>
    <row r="21" spans="1:22">
      <c r="A21" s="18">
        <v>16</v>
      </c>
      <c r="B21" s="12" t="s">
        <v>36</v>
      </c>
      <c r="C21" s="31">
        <v>0</v>
      </c>
      <c r="D21" s="31">
        <v>2</v>
      </c>
      <c r="E21" s="31">
        <v>7</v>
      </c>
      <c r="F21" s="7">
        <v>216.52</v>
      </c>
      <c r="G21" s="7">
        <v>243.59</v>
      </c>
      <c r="H21" s="7">
        <v>324.77999999999997</v>
      </c>
      <c r="I21" s="34">
        <v>9</v>
      </c>
      <c r="J21" s="8">
        <v>3.1333333333333302</v>
      </c>
      <c r="K21" s="8">
        <v>0.51639777949432197</v>
      </c>
      <c r="L21" s="8">
        <v>0.133333333333333</v>
      </c>
      <c r="M21" s="33">
        <v>9</v>
      </c>
      <c r="N21" s="8">
        <v>2.7333333333333334</v>
      </c>
      <c r="O21" s="8">
        <v>0.79880863671798041</v>
      </c>
      <c r="P21" s="8">
        <f t="shared" si="0"/>
        <v>0.20625150312102591</v>
      </c>
      <c r="Q21" s="36">
        <v>10</v>
      </c>
      <c r="R21" s="6">
        <v>2.93333333333333</v>
      </c>
      <c r="S21" s="6">
        <v>0.691491807283521</v>
      </c>
      <c r="T21" s="6">
        <v>0.12624855372640001</v>
      </c>
      <c r="U21" s="35">
        <v>0.25</v>
      </c>
      <c r="V21" s="30">
        <v>27.069999999999993</v>
      </c>
    </row>
    <row r="22" spans="1:22">
      <c r="A22" s="16">
        <v>17</v>
      </c>
      <c r="B22" s="12"/>
      <c r="C22" s="31">
        <v>0</v>
      </c>
      <c r="D22" s="31">
        <v>2</v>
      </c>
      <c r="E22" s="31">
        <v>8</v>
      </c>
      <c r="F22" s="11">
        <v>210.71</v>
      </c>
      <c r="G22" s="11">
        <v>237.05</v>
      </c>
      <c r="H22" s="11">
        <v>337.13</v>
      </c>
      <c r="I22" s="34">
        <v>23</v>
      </c>
      <c r="J22" s="8">
        <v>1.93333333333333</v>
      </c>
      <c r="K22" s="8">
        <v>0.79880863671797997</v>
      </c>
      <c r="L22" s="8">
        <v>0.206251503121026</v>
      </c>
      <c r="M22" s="33">
        <v>25</v>
      </c>
      <c r="N22" s="8">
        <v>1.6</v>
      </c>
      <c r="O22" s="8">
        <v>0.50709255283711008</v>
      </c>
      <c r="P22" s="8">
        <f t="shared" si="0"/>
        <v>0.13093073414159545</v>
      </c>
      <c r="Q22" s="36">
        <v>33</v>
      </c>
      <c r="R22" s="6">
        <v>1.7666666666666699</v>
      </c>
      <c r="S22" s="6">
        <v>0.67891055392436295</v>
      </c>
      <c r="T22" s="6">
        <v>0.123951541637567</v>
      </c>
      <c r="U22" s="35">
        <v>5.6944444444444443E-2</v>
      </c>
      <c r="V22" s="30">
        <v>26.340000000000003</v>
      </c>
    </row>
    <row r="23" spans="1:22">
      <c r="A23" s="16">
        <v>18</v>
      </c>
      <c r="B23" s="12"/>
      <c r="C23" s="31">
        <v>0</v>
      </c>
      <c r="D23" s="31">
        <v>2</v>
      </c>
      <c r="E23" s="31">
        <v>9</v>
      </c>
      <c r="F23" s="11">
        <v>207</v>
      </c>
      <c r="G23" s="11">
        <v>232.88</v>
      </c>
      <c r="H23" s="11">
        <v>345.01</v>
      </c>
      <c r="I23" s="34">
        <v>24</v>
      </c>
      <c r="J23" s="8">
        <v>1.86666666666667</v>
      </c>
      <c r="K23" s="8">
        <v>0.74322335295720698</v>
      </c>
      <c r="L23" s="8">
        <v>0.19189944456771299</v>
      </c>
      <c r="M23" s="33">
        <v>20</v>
      </c>
      <c r="N23" s="8">
        <v>1.9333333333333333</v>
      </c>
      <c r="O23" s="8">
        <v>0.88371510168853673</v>
      </c>
      <c r="P23" s="8">
        <f t="shared" si="0"/>
        <v>0.22817425810877978</v>
      </c>
      <c r="Q23" s="36">
        <v>30</v>
      </c>
      <c r="R23" s="6">
        <v>1.9</v>
      </c>
      <c r="S23" s="6">
        <v>0.80301157289723801</v>
      </c>
      <c r="T23" s="6">
        <v>0.14660918413784099</v>
      </c>
      <c r="U23" s="35">
        <v>9.0740740740740747E-2</v>
      </c>
      <c r="V23" s="30">
        <v>25.879999999999995</v>
      </c>
    </row>
    <row r="24" spans="1:22">
      <c r="A24" s="16">
        <v>19</v>
      </c>
      <c r="B24" s="12"/>
      <c r="C24" s="31">
        <v>0</v>
      </c>
      <c r="D24" s="31">
        <v>2</v>
      </c>
      <c r="E24" s="31">
        <v>10</v>
      </c>
      <c r="F24" s="11">
        <v>199.97</v>
      </c>
      <c r="G24" s="11">
        <v>224.97</v>
      </c>
      <c r="H24" s="11">
        <v>359.95</v>
      </c>
      <c r="I24" s="34">
        <v>22</v>
      </c>
      <c r="J24" s="8">
        <v>2</v>
      </c>
      <c r="K24" s="8">
        <v>0.53452248382484902</v>
      </c>
      <c r="L24" s="8">
        <v>0.13801311186847101</v>
      </c>
      <c r="M24" s="33">
        <v>25</v>
      </c>
      <c r="N24" s="8">
        <v>1.6</v>
      </c>
      <c r="O24" s="8">
        <v>0.63245553203367588</v>
      </c>
      <c r="P24" s="8">
        <f t="shared" si="0"/>
        <v>0.16329931618554522</v>
      </c>
      <c r="Q24" s="36">
        <v>32</v>
      </c>
      <c r="R24" s="6">
        <v>1.8</v>
      </c>
      <c r="S24" s="6">
        <v>0.61025715325872898</v>
      </c>
      <c r="T24" s="6">
        <v>0.111417202906231</v>
      </c>
      <c r="U24" s="35">
        <v>5.5555555555555552E-2</v>
      </c>
      <c r="V24" s="30">
        <v>25</v>
      </c>
    </row>
    <row r="25" spans="1:22">
      <c r="A25" s="16">
        <v>20</v>
      </c>
      <c r="B25" s="12"/>
      <c r="C25" s="31">
        <v>0</v>
      </c>
      <c r="D25" s="31">
        <v>2</v>
      </c>
      <c r="E25" s="31">
        <v>11</v>
      </c>
      <c r="F25" s="11">
        <v>196.22</v>
      </c>
      <c r="G25" s="11">
        <v>220.75</v>
      </c>
      <c r="H25" s="11">
        <v>367.92</v>
      </c>
      <c r="I25" s="34">
        <v>21</v>
      </c>
      <c r="J25" s="8">
        <v>2.06666666666667</v>
      </c>
      <c r="K25" s="8">
        <v>0.79880863671797997</v>
      </c>
      <c r="L25" s="8">
        <v>0.206251503121026</v>
      </c>
      <c r="M25" s="33">
        <v>19</v>
      </c>
      <c r="N25" s="8">
        <v>2</v>
      </c>
      <c r="O25" s="8">
        <v>0.84515425472851657</v>
      </c>
      <c r="P25" s="8">
        <f t="shared" si="0"/>
        <v>0.21821789023599236</v>
      </c>
      <c r="Q25" s="36">
        <v>27</v>
      </c>
      <c r="R25" s="6">
        <v>2.0333333333333301</v>
      </c>
      <c r="S25" s="6">
        <v>0.80871687784152702</v>
      </c>
      <c r="T25" s="6">
        <v>0.147650825542985</v>
      </c>
      <c r="U25" s="35">
        <v>0.26111111111111113</v>
      </c>
      <c r="V25" s="30">
        <v>24.53</v>
      </c>
    </row>
    <row r="26" spans="1:22">
      <c r="A26" s="16">
        <v>21</v>
      </c>
      <c r="B26" s="12"/>
      <c r="C26" s="31">
        <v>0</v>
      </c>
      <c r="D26" s="31">
        <v>2</v>
      </c>
      <c r="E26" s="31">
        <v>12</v>
      </c>
      <c r="F26" s="11">
        <v>190.28</v>
      </c>
      <c r="G26" s="11">
        <v>214.06</v>
      </c>
      <c r="H26" s="11">
        <v>380.55</v>
      </c>
      <c r="I26" s="34">
        <v>16</v>
      </c>
      <c r="J26" s="8">
        <v>2.4</v>
      </c>
      <c r="K26" s="8">
        <v>0.82807867121082501</v>
      </c>
      <c r="L26" s="8">
        <v>0.21380899352993901</v>
      </c>
      <c r="M26" s="33">
        <v>19</v>
      </c>
      <c r="N26" s="8">
        <v>2</v>
      </c>
      <c r="O26" s="8">
        <v>0.53452248382484879</v>
      </c>
      <c r="P26" s="8">
        <f t="shared" si="0"/>
        <v>0.13801311186847084</v>
      </c>
      <c r="Q26" s="36">
        <v>23</v>
      </c>
      <c r="R26" s="6">
        <v>2.2000000000000002</v>
      </c>
      <c r="S26" s="6">
        <v>0.71438422965950699</v>
      </c>
      <c r="T26" s="6">
        <v>0.130428119103488</v>
      </c>
      <c r="U26" s="35">
        <v>0.22222222222222221</v>
      </c>
      <c r="V26" s="30">
        <v>23.78</v>
      </c>
    </row>
    <row r="27" spans="1:22">
      <c r="A27" s="16">
        <v>22</v>
      </c>
      <c r="B27" s="12"/>
      <c r="C27" s="31">
        <v>0</v>
      </c>
      <c r="D27" s="31">
        <v>3</v>
      </c>
      <c r="E27" s="31">
        <v>4</v>
      </c>
      <c r="F27" s="11">
        <v>227.5</v>
      </c>
      <c r="G27" s="11">
        <v>273.01</v>
      </c>
      <c r="H27" s="11">
        <v>284.38</v>
      </c>
      <c r="I27" s="34">
        <v>33</v>
      </c>
      <c r="J27" s="8">
        <v>1.2</v>
      </c>
      <c r="K27" s="8">
        <v>0.41403933560541301</v>
      </c>
      <c r="L27" s="8">
        <v>0.10690449676497001</v>
      </c>
      <c r="M27" s="33">
        <v>30</v>
      </c>
      <c r="N27" s="8">
        <v>1.2</v>
      </c>
      <c r="O27" s="8">
        <v>0.4140393356054124</v>
      </c>
      <c r="P27" s="8">
        <f t="shared" si="0"/>
        <v>0.10690449676496971</v>
      </c>
      <c r="Q27" s="36">
        <v>44</v>
      </c>
      <c r="R27" s="6">
        <v>1.2</v>
      </c>
      <c r="S27" s="6">
        <v>0.406838102172486</v>
      </c>
      <c r="T27" s="6">
        <v>7.4278135270820805E-2</v>
      </c>
      <c r="U27" s="35">
        <v>0.11333333333333333</v>
      </c>
      <c r="V27" s="30">
        <v>11.370000000000005</v>
      </c>
    </row>
    <row r="28" spans="1:22">
      <c r="A28" s="16">
        <v>23</v>
      </c>
      <c r="B28" s="12"/>
      <c r="C28" s="31">
        <v>0</v>
      </c>
      <c r="D28" s="31">
        <v>3</v>
      </c>
      <c r="E28" s="31">
        <v>5</v>
      </c>
      <c r="F28" s="11">
        <v>222.14</v>
      </c>
      <c r="G28" s="11">
        <v>266.57</v>
      </c>
      <c r="H28" s="11">
        <v>296.18</v>
      </c>
      <c r="I28" s="34">
        <v>12</v>
      </c>
      <c r="J28" s="8">
        <v>2.7333333333333298</v>
      </c>
      <c r="K28" s="8">
        <v>0.59361683970466395</v>
      </c>
      <c r="L28" s="8">
        <v>0.153271208946963</v>
      </c>
      <c r="M28" s="33">
        <v>18</v>
      </c>
      <c r="N28" s="8">
        <v>2.0666666666666669</v>
      </c>
      <c r="O28" s="8">
        <v>0.70373155054899705</v>
      </c>
      <c r="P28" s="8">
        <f t="shared" si="0"/>
        <v>0.18170270503179922</v>
      </c>
      <c r="Q28" s="36">
        <v>18</v>
      </c>
      <c r="R28" s="6">
        <v>2.4</v>
      </c>
      <c r="S28" s="6">
        <v>0.72397370880059098</v>
      </c>
      <c r="T28" s="6">
        <v>0.13217891045025301</v>
      </c>
      <c r="U28" s="35">
        <v>0.14444444444444443</v>
      </c>
      <c r="V28" s="30">
        <v>29.610000000000014</v>
      </c>
    </row>
    <row r="29" spans="1:22">
      <c r="A29" s="18">
        <v>24</v>
      </c>
      <c r="B29" s="12" t="s">
        <v>86</v>
      </c>
      <c r="C29" s="31">
        <v>0</v>
      </c>
      <c r="D29" s="31">
        <v>3</v>
      </c>
      <c r="E29" s="31">
        <v>6</v>
      </c>
      <c r="F29" s="7">
        <v>218.03</v>
      </c>
      <c r="G29" s="7">
        <v>261.63</v>
      </c>
      <c r="H29" s="7">
        <v>305.24</v>
      </c>
      <c r="I29" s="34">
        <v>15</v>
      </c>
      <c r="J29" s="8">
        <v>2.4666666666666699</v>
      </c>
      <c r="K29" s="8">
        <v>0.51639777949432197</v>
      </c>
      <c r="L29" s="8">
        <v>0.133333333333333</v>
      </c>
      <c r="M29" s="33">
        <v>15</v>
      </c>
      <c r="N29" s="8">
        <v>2.2666666666666666</v>
      </c>
      <c r="O29" s="8">
        <v>0.88371510168853695</v>
      </c>
      <c r="P29" s="8">
        <f t="shared" si="0"/>
        <v>0.22817425810877984</v>
      </c>
      <c r="Q29" s="36">
        <v>19</v>
      </c>
      <c r="R29" s="6">
        <v>2.3666666666666698</v>
      </c>
      <c r="S29" s="6">
        <v>0.71839540228413801</v>
      </c>
      <c r="T29" s="6">
        <v>0.13116045567967399</v>
      </c>
      <c r="U29" s="35">
        <v>0.42857142857142855</v>
      </c>
      <c r="V29" s="30">
        <v>43.599999999999994</v>
      </c>
    </row>
    <row r="30" spans="1:22">
      <c r="A30" s="18">
        <v>25</v>
      </c>
      <c r="B30" s="12" t="s">
        <v>87</v>
      </c>
      <c r="C30" s="31">
        <v>0</v>
      </c>
      <c r="D30" s="31">
        <v>3</v>
      </c>
      <c r="E30" s="31">
        <v>7</v>
      </c>
      <c r="F30" s="7">
        <v>212.13</v>
      </c>
      <c r="G30" s="7">
        <v>254.56</v>
      </c>
      <c r="H30" s="7">
        <v>318.2</v>
      </c>
      <c r="I30" s="34">
        <v>6</v>
      </c>
      <c r="J30" s="8">
        <v>3.3333333333333299</v>
      </c>
      <c r="K30" s="8">
        <v>0.48795003647426699</v>
      </c>
      <c r="L30" s="8">
        <v>0.125988157669742</v>
      </c>
      <c r="M30" s="33">
        <v>4</v>
      </c>
      <c r="N30" s="8">
        <v>3.4666666666666668</v>
      </c>
      <c r="O30" s="8">
        <v>0.83380938783279135</v>
      </c>
      <c r="P30" s="8">
        <f t="shared" si="0"/>
        <v>0.2152886581991868</v>
      </c>
      <c r="Q30" s="36">
        <v>6</v>
      </c>
      <c r="R30" s="6">
        <v>3.4</v>
      </c>
      <c r="S30" s="6">
        <v>0.67466466766320499</v>
      </c>
      <c r="T30" s="6">
        <v>0.123176352410288</v>
      </c>
      <c r="U30" s="35">
        <v>0.2</v>
      </c>
      <c r="V30" s="30">
        <v>42.430000000000007</v>
      </c>
    </row>
    <row r="31" spans="1:22">
      <c r="A31" s="18">
        <v>26</v>
      </c>
      <c r="B31" s="12" t="s">
        <v>88</v>
      </c>
      <c r="C31" s="31">
        <v>0</v>
      </c>
      <c r="D31" s="31">
        <v>3</v>
      </c>
      <c r="E31" s="31">
        <v>8</v>
      </c>
      <c r="F31" s="7">
        <v>206.55</v>
      </c>
      <c r="G31" s="7">
        <v>247.86</v>
      </c>
      <c r="H31" s="7">
        <v>330.48</v>
      </c>
      <c r="I31" s="34">
        <v>2</v>
      </c>
      <c r="J31" s="8">
        <v>3.8666666666666698</v>
      </c>
      <c r="K31" s="8">
        <v>0.35186577527449803</v>
      </c>
      <c r="L31" s="8">
        <v>9.0851352515899597E-2</v>
      </c>
      <c r="M31" s="33">
        <v>5</v>
      </c>
      <c r="N31" s="8">
        <v>3.4</v>
      </c>
      <c r="O31" s="8">
        <v>0.73678839761300696</v>
      </c>
      <c r="P31" s="8">
        <f t="shared" si="0"/>
        <v>0.19023794624226828</v>
      </c>
      <c r="Q31" s="36">
        <v>4</v>
      </c>
      <c r="R31" s="6">
        <v>3.6333333333333302</v>
      </c>
      <c r="S31" s="6">
        <v>0.61494789985837806</v>
      </c>
      <c r="T31" s="6">
        <v>0.11227361214762099</v>
      </c>
      <c r="U31" s="35">
        <v>0.4</v>
      </c>
      <c r="V31" s="30">
        <v>41.31</v>
      </c>
    </row>
    <row r="32" spans="1:22">
      <c r="A32" s="18">
        <v>27</v>
      </c>
      <c r="B32" s="12" t="s">
        <v>89</v>
      </c>
      <c r="C32" s="31">
        <v>0</v>
      </c>
      <c r="D32" s="31">
        <v>3</v>
      </c>
      <c r="E32" s="31">
        <v>9</v>
      </c>
      <c r="F32" s="7">
        <v>202.99</v>
      </c>
      <c r="G32" s="7">
        <v>243.59</v>
      </c>
      <c r="H32" s="7">
        <v>338.31</v>
      </c>
      <c r="I32" s="34">
        <v>18</v>
      </c>
      <c r="J32" s="8">
        <v>2.2666666666666702</v>
      </c>
      <c r="K32" s="8">
        <v>0.59361683970466395</v>
      </c>
      <c r="L32" s="8">
        <v>0.153271208946963</v>
      </c>
      <c r="M32" s="33">
        <v>16</v>
      </c>
      <c r="N32" s="8">
        <v>2.2000000000000002</v>
      </c>
      <c r="O32" s="8">
        <v>0.77459666924148363</v>
      </c>
      <c r="P32" s="8">
        <f t="shared" si="0"/>
        <v>0.20000000000000007</v>
      </c>
      <c r="Q32" s="36">
        <v>22</v>
      </c>
      <c r="R32" s="6">
        <v>2.2333333333333298</v>
      </c>
      <c r="S32" s="6">
        <v>0.67891055392436295</v>
      </c>
      <c r="T32" s="6">
        <v>0.123951541637567</v>
      </c>
      <c r="U32" s="35">
        <v>0.13777777777777778</v>
      </c>
      <c r="V32" s="30">
        <v>40.599999999999994</v>
      </c>
    </row>
    <row r="33" spans="1:22">
      <c r="A33" s="16">
        <v>28</v>
      </c>
      <c r="B33" s="12"/>
      <c r="C33" s="31">
        <v>0</v>
      </c>
      <c r="D33" s="31">
        <v>3</v>
      </c>
      <c r="E33" s="31">
        <v>10</v>
      </c>
      <c r="F33" s="11">
        <v>196.22</v>
      </c>
      <c r="G33" s="11">
        <v>235.47</v>
      </c>
      <c r="H33" s="11">
        <v>353.2</v>
      </c>
      <c r="I33" s="34">
        <v>12</v>
      </c>
      <c r="J33" s="8">
        <v>2.7333333333333298</v>
      </c>
      <c r="K33" s="8">
        <v>0.457737708217064</v>
      </c>
      <c r="L33" s="8">
        <v>0.118187368057056</v>
      </c>
      <c r="M33" s="33">
        <v>14</v>
      </c>
      <c r="N33" s="8">
        <v>2.3333333333333335</v>
      </c>
      <c r="O33" s="8">
        <v>0.89973541084243713</v>
      </c>
      <c r="P33" s="8">
        <f t="shared" si="0"/>
        <v>0.23231068414572315</v>
      </c>
      <c r="Q33" s="36">
        <v>15</v>
      </c>
      <c r="R33" s="6">
        <v>2.5333333333333301</v>
      </c>
      <c r="S33" s="6">
        <v>0.73029674334022199</v>
      </c>
      <c r="T33" s="6">
        <v>0.133333333333333</v>
      </c>
      <c r="U33" s="35">
        <v>0.37777777777777777</v>
      </c>
      <c r="V33" s="30">
        <v>39.25</v>
      </c>
    </row>
    <row r="34" spans="1:22">
      <c r="A34" s="16">
        <v>29</v>
      </c>
      <c r="B34" s="12"/>
      <c r="C34" s="31">
        <v>0</v>
      </c>
      <c r="D34" s="31">
        <v>3</v>
      </c>
      <c r="E34" s="31">
        <v>11</v>
      </c>
      <c r="F34" s="11">
        <v>192.61</v>
      </c>
      <c r="G34" s="11">
        <v>231.13</v>
      </c>
      <c r="H34" s="11">
        <v>361.15</v>
      </c>
      <c r="I34" s="34">
        <v>29</v>
      </c>
      <c r="J34" s="8">
        <v>1.5333333333333301</v>
      </c>
      <c r="K34" s="8">
        <v>0.51639777949432197</v>
      </c>
      <c r="L34" s="8">
        <v>0.133333333333333</v>
      </c>
      <c r="M34" s="33">
        <v>26</v>
      </c>
      <c r="N34" s="8">
        <v>1.5333333333333334</v>
      </c>
      <c r="O34" s="8">
        <v>0.63994047342218441</v>
      </c>
      <c r="P34" s="8">
        <f t="shared" si="0"/>
        <v>0.16523191974188067</v>
      </c>
      <c r="Q34" s="36">
        <v>37</v>
      </c>
      <c r="R34" s="6">
        <v>1.5333333333333301</v>
      </c>
      <c r="S34" s="6">
        <v>0.57134646372336595</v>
      </c>
      <c r="T34" s="6">
        <v>0.104313115444032</v>
      </c>
      <c r="U34" s="35">
        <v>5.3333333333333337E-2</v>
      </c>
      <c r="V34" s="30">
        <v>38.519999999999982</v>
      </c>
    </row>
    <row r="35" spans="1:22">
      <c r="A35" s="18">
        <v>30</v>
      </c>
      <c r="B35" s="12"/>
      <c r="C35" s="31">
        <v>0</v>
      </c>
      <c r="D35" s="31">
        <v>3</v>
      </c>
      <c r="E35" s="31">
        <v>12</v>
      </c>
      <c r="F35" s="7">
        <v>186.88</v>
      </c>
      <c r="G35" s="7">
        <v>224.25</v>
      </c>
      <c r="H35" s="7">
        <v>373.76</v>
      </c>
      <c r="I35" s="34">
        <v>8</v>
      </c>
      <c r="J35" s="8">
        <v>3.2</v>
      </c>
      <c r="K35" s="8">
        <v>0.67612340378281299</v>
      </c>
      <c r="L35" s="8">
        <v>0.17457431218879399</v>
      </c>
      <c r="M35" s="33">
        <v>13</v>
      </c>
      <c r="N35" s="8">
        <v>2.4</v>
      </c>
      <c r="O35" s="8">
        <v>0.98561076060916208</v>
      </c>
      <c r="P35" s="8">
        <f t="shared" si="0"/>
        <v>0.25448360411214066</v>
      </c>
      <c r="Q35" s="36">
        <v>11</v>
      </c>
      <c r="R35" s="6">
        <v>2.8</v>
      </c>
      <c r="S35" s="6">
        <v>0.92475532644754399</v>
      </c>
      <c r="T35" s="6">
        <v>0.168836450822791</v>
      </c>
      <c r="U35" s="35">
        <v>0.33333333333333331</v>
      </c>
      <c r="V35" s="30">
        <v>37.370000000000005</v>
      </c>
    </row>
    <row r="36" spans="1:22">
      <c r="A36" s="16">
        <v>31</v>
      </c>
      <c r="B36" s="12"/>
      <c r="C36" s="31">
        <v>0</v>
      </c>
      <c r="D36" s="31">
        <v>4</v>
      </c>
      <c r="E36" s="31">
        <v>5</v>
      </c>
      <c r="F36" s="11">
        <v>219.04</v>
      </c>
      <c r="G36" s="11">
        <v>273.8</v>
      </c>
      <c r="H36" s="11">
        <v>292.05</v>
      </c>
      <c r="I36" s="34">
        <v>21</v>
      </c>
      <c r="J36" s="8">
        <v>2.06666666666667</v>
      </c>
      <c r="K36" s="8">
        <v>0.79880863671797997</v>
      </c>
      <c r="L36" s="8">
        <v>0.206251503121026</v>
      </c>
      <c r="M36" s="33">
        <v>16</v>
      </c>
      <c r="N36" s="8">
        <v>2.2000000000000002</v>
      </c>
      <c r="O36" s="8">
        <v>0.77459666924148363</v>
      </c>
      <c r="P36" s="8">
        <f t="shared" si="0"/>
        <v>0.20000000000000007</v>
      </c>
      <c r="Q36" s="36">
        <v>25</v>
      </c>
      <c r="R36" s="6">
        <v>2.1333333333333302</v>
      </c>
      <c r="S36" s="6">
        <v>0.77607915226136104</v>
      </c>
      <c r="T36" s="6">
        <v>0.141692019367678</v>
      </c>
      <c r="U36" s="35">
        <v>0.17499999999999999</v>
      </c>
      <c r="V36" s="30">
        <v>18.25</v>
      </c>
    </row>
    <row r="37" spans="1:22">
      <c r="A37" s="16">
        <v>32</v>
      </c>
      <c r="B37" s="2"/>
      <c r="C37" s="31">
        <v>0</v>
      </c>
      <c r="D37" s="31">
        <v>4</v>
      </c>
      <c r="E37" s="31">
        <v>6</v>
      </c>
      <c r="F37" s="11">
        <v>215.04</v>
      </c>
      <c r="G37" s="11">
        <v>268.8</v>
      </c>
      <c r="H37" s="11">
        <v>301.05</v>
      </c>
      <c r="I37" s="34">
        <v>25</v>
      </c>
      <c r="J37" s="8">
        <v>1.8</v>
      </c>
      <c r="K37" s="8">
        <v>0.41403933560541301</v>
      </c>
      <c r="L37" s="8">
        <v>0.10690449676497001</v>
      </c>
      <c r="M37" s="33">
        <v>19</v>
      </c>
      <c r="N37" s="8">
        <v>2</v>
      </c>
      <c r="O37" s="8">
        <v>0.65465367070797709</v>
      </c>
      <c r="P37" s="8">
        <f t="shared" si="0"/>
        <v>0.1690308509457033</v>
      </c>
      <c r="Q37" s="36">
        <v>30</v>
      </c>
      <c r="R37" s="6">
        <v>1.9</v>
      </c>
      <c r="S37" s="6">
        <v>0.54772255750516596</v>
      </c>
      <c r="T37" s="6">
        <v>0.1</v>
      </c>
      <c r="U37" s="35">
        <v>0.10857142857142857</v>
      </c>
      <c r="V37" s="30">
        <v>32.25</v>
      </c>
    </row>
    <row r="38" spans="1:22">
      <c r="A38" s="18">
        <v>33</v>
      </c>
      <c r="B38" s="12" t="s">
        <v>90</v>
      </c>
      <c r="C38" s="31">
        <v>0</v>
      </c>
      <c r="D38" s="31">
        <v>4</v>
      </c>
      <c r="E38" s="31">
        <v>7</v>
      </c>
      <c r="F38" s="7">
        <v>209.3</v>
      </c>
      <c r="G38" s="7">
        <v>261.63</v>
      </c>
      <c r="H38" s="7">
        <v>313.95999999999998</v>
      </c>
      <c r="I38" s="34">
        <v>1</v>
      </c>
      <c r="J38" s="8">
        <v>3.93333333333333</v>
      </c>
      <c r="K38" s="8">
        <v>0.25819888974716099</v>
      </c>
      <c r="L38" s="8">
        <v>6.6666666666666693E-2</v>
      </c>
      <c r="M38" s="33">
        <v>2</v>
      </c>
      <c r="N38" s="8">
        <v>3.6666666666666665</v>
      </c>
      <c r="O38" s="8">
        <v>0.48795003647426727</v>
      </c>
      <c r="P38" s="8">
        <f t="shared" si="0"/>
        <v>0.12598815766974258</v>
      </c>
      <c r="Q38" s="36">
        <v>2</v>
      </c>
      <c r="R38" s="6">
        <v>3.8</v>
      </c>
      <c r="S38" s="6">
        <v>0.406838102172486</v>
      </c>
      <c r="T38" s="6">
        <v>7.4278135270820694E-2</v>
      </c>
      <c r="U38" s="35">
        <v>0.46666666666666667</v>
      </c>
      <c r="V38" s="30">
        <v>52.329999999999984</v>
      </c>
    </row>
    <row r="39" spans="1:22">
      <c r="A39" s="18">
        <v>34</v>
      </c>
      <c r="B39" s="12" t="s">
        <v>51</v>
      </c>
      <c r="C39" s="31">
        <v>0</v>
      </c>
      <c r="D39" s="31">
        <v>4</v>
      </c>
      <c r="E39" s="31">
        <v>8</v>
      </c>
      <c r="F39" s="7">
        <v>203.87</v>
      </c>
      <c r="G39" s="7">
        <v>254.83</v>
      </c>
      <c r="H39" s="7">
        <v>326.19</v>
      </c>
      <c r="I39" s="34">
        <v>27</v>
      </c>
      <c r="J39" s="8">
        <v>1.6666666666666701</v>
      </c>
      <c r="K39" s="8">
        <v>0.61721339984836798</v>
      </c>
      <c r="L39" s="8">
        <v>0.15936381457791901</v>
      </c>
      <c r="M39" s="33">
        <v>16</v>
      </c>
      <c r="N39" s="8">
        <v>2.2000000000000002</v>
      </c>
      <c r="O39" s="8">
        <v>0.56061191058138848</v>
      </c>
      <c r="P39" s="8">
        <f t="shared" si="0"/>
        <v>0.14474937289114928</v>
      </c>
      <c r="Q39" s="36">
        <v>29</v>
      </c>
      <c r="R39" s="6">
        <v>1.93333333333333</v>
      </c>
      <c r="S39" s="6">
        <v>0.63968382994949202</v>
      </c>
      <c r="T39" s="6">
        <v>0.116789754444879</v>
      </c>
      <c r="U39" s="35">
        <v>0.105</v>
      </c>
      <c r="V39" s="30">
        <v>50.960000000000008</v>
      </c>
    </row>
    <row r="40" spans="1:22">
      <c r="A40" s="18">
        <v>35</v>
      </c>
      <c r="B40" s="12" t="s">
        <v>91</v>
      </c>
      <c r="C40" s="31">
        <v>0</v>
      </c>
      <c r="D40" s="31">
        <v>4</v>
      </c>
      <c r="E40" s="31">
        <v>9</v>
      </c>
      <c r="F40" s="7">
        <v>200.4</v>
      </c>
      <c r="G40" s="7">
        <v>250.5</v>
      </c>
      <c r="H40" s="7">
        <v>334</v>
      </c>
      <c r="I40" s="34">
        <v>6</v>
      </c>
      <c r="J40" s="8">
        <v>3.3333333333333299</v>
      </c>
      <c r="K40" s="8">
        <v>0.61721339984836798</v>
      </c>
      <c r="L40" s="8">
        <v>0.15936381457791901</v>
      </c>
      <c r="M40" s="33">
        <v>9</v>
      </c>
      <c r="N40" s="8">
        <v>2.7333333333333334</v>
      </c>
      <c r="O40" s="8">
        <v>0.88371510168853695</v>
      </c>
      <c r="P40" s="8">
        <f t="shared" si="0"/>
        <v>0.22817425810877984</v>
      </c>
      <c r="Q40" s="36">
        <v>9</v>
      </c>
      <c r="R40" s="6">
        <v>3.0333333333333301</v>
      </c>
      <c r="S40" s="6">
        <v>0.80871687784152702</v>
      </c>
      <c r="T40" s="6">
        <v>0.147650825542985</v>
      </c>
      <c r="U40" s="35">
        <v>0.16666666666666666</v>
      </c>
      <c r="V40" s="30">
        <v>50.099999999999994</v>
      </c>
    </row>
    <row r="41" spans="1:22">
      <c r="A41" s="18">
        <v>36</v>
      </c>
      <c r="B41" s="12" t="s">
        <v>34</v>
      </c>
      <c r="C41" s="31">
        <v>0</v>
      </c>
      <c r="D41" s="31">
        <v>4</v>
      </c>
      <c r="E41" s="31">
        <v>10</v>
      </c>
      <c r="F41" s="7">
        <v>193.8</v>
      </c>
      <c r="G41" s="7">
        <v>242.25</v>
      </c>
      <c r="H41" s="7">
        <v>348.84</v>
      </c>
      <c r="I41" s="34">
        <v>16</v>
      </c>
      <c r="J41" s="8">
        <v>2.4</v>
      </c>
      <c r="K41" s="8">
        <v>0.50709255283710997</v>
      </c>
      <c r="L41" s="8">
        <v>0.13093073414159501</v>
      </c>
      <c r="M41" s="33">
        <v>12</v>
      </c>
      <c r="N41" s="8">
        <v>2.4666666666666668</v>
      </c>
      <c r="O41" s="8">
        <v>0.99043040187202502</v>
      </c>
      <c r="P41" s="8">
        <f t="shared" si="0"/>
        <v>0.25572803013519146</v>
      </c>
      <c r="Q41" s="36">
        <v>17</v>
      </c>
      <c r="R41" s="6">
        <v>2.43333333333333</v>
      </c>
      <c r="S41" s="6">
        <v>0.77385436272766694</v>
      </c>
      <c r="T41" s="6">
        <v>0.14128583022990901</v>
      </c>
      <c r="U41" s="35">
        <v>0.10222222222222223</v>
      </c>
      <c r="V41" s="30">
        <v>48.449999999999989</v>
      </c>
    </row>
    <row r="42" spans="1:22">
      <c r="A42" s="16">
        <v>37</v>
      </c>
      <c r="B42" s="12"/>
      <c r="C42" s="31">
        <v>0</v>
      </c>
      <c r="D42" s="31">
        <v>4</v>
      </c>
      <c r="E42" s="31">
        <v>11</v>
      </c>
      <c r="F42" s="11">
        <v>190.28</v>
      </c>
      <c r="G42" s="11">
        <v>237.85</v>
      </c>
      <c r="H42" s="11">
        <v>356.77</v>
      </c>
      <c r="I42" s="34">
        <v>11</v>
      </c>
      <c r="J42" s="8">
        <v>2.8</v>
      </c>
      <c r="K42" s="8">
        <v>0.41403933560541301</v>
      </c>
      <c r="L42" s="8">
        <v>0.10690449676497001</v>
      </c>
      <c r="M42" s="33">
        <v>13</v>
      </c>
      <c r="N42" s="8">
        <v>2.4</v>
      </c>
      <c r="O42" s="8">
        <v>0.73678839761300696</v>
      </c>
      <c r="P42" s="8">
        <f t="shared" si="0"/>
        <v>0.19023794624226828</v>
      </c>
      <c r="Q42" s="36">
        <v>14</v>
      </c>
      <c r="R42" s="6">
        <v>2.6</v>
      </c>
      <c r="S42" s="6">
        <v>0.62145546626586501</v>
      </c>
      <c r="T42" s="6">
        <v>0.11346172578623499</v>
      </c>
      <c r="U42" s="35">
        <v>0.23333333333333334</v>
      </c>
      <c r="V42" s="30">
        <v>47.569999999999993</v>
      </c>
    </row>
    <row r="43" spans="1:22">
      <c r="A43" s="18">
        <v>38</v>
      </c>
      <c r="B43" s="12"/>
      <c r="C43" s="31">
        <v>0</v>
      </c>
      <c r="D43" s="31">
        <v>4</v>
      </c>
      <c r="E43" s="31">
        <v>12</v>
      </c>
      <c r="F43" s="7">
        <v>184.68</v>
      </c>
      <c r="G43" s="7">
        <v>230.85</v>
      </c>
      <c r="H43" s="7">
        <v>369.36</v>
      </c>
      <c r="I43" s="34">
        <v>4</v>
      </c>
      <c r="J43" s="8">
        <v>3.6666666666666701</v>
      </c>
      <c r="K43" s="8">
        <v>0.48795003647426699</v>
      </c>
      <c r="L43" s="8">
        <v>0.125988157669742</v>
      </c>
      <c r="M43" s="33">
        <v>5</v>
      </c>
      <c r="N43" s="8">
        <v>3.4</v>
      </c>
      <c r="O43" s="8">
        <v>0.63245553203367555</v>
      </c>
      <c r="P43" s="8">
        <f t="shared" si="0"/>
        <v>0.16329931618554511</v>
      </c>
      <c r="Q43" s="36">
        <v>5</v>
      </c>
      <c r="R43" s="6">
        <v>3.5333333333333301</v>
      </c>
      <c r="S43" s="6">
        <v>0.57134646372336595</v>
      </c>
      <c r="T43" s="6">
        <v>0.104313115444032</v>
      </c>
      <c r="U43" s="35">
        <v>0.4</v>
      </c>
      <c r="V43" s="30">
        <v>46.169999999999987</v>
      </c>
    </row>
    <row r="44" spans="1:22">
      <c r="A44" s="16">
        <v>39</v>
      </c>
      <c r="B44" s="12"/>
      <c r="C44" s="31">
        <v>0</v>
      </c>
      <c r="D44" s="31">
        <v>5</v>
      </c>
      <c r="E44" s="31">
        <v>6</v>
      </c>
      <c r="F44" s="11">
        <v>210.24</v>
      </c>
      <c r="G44" s="11">
        <v>280.32</v>
      </c>
      <c r="H44" s="11">
        <v>294.33</v>
      </c>
      <c r="I44" s="34">
        <v>32</v>
      </c>
      <c r="J44" s="8">
        <v>1.2666666666666699</v>
      </c>
      <c r="K44" s="8">
        <v>0.79880863671797997</v>
      </c>
      <c r="L44" s="8">
        <v>0.206251503121026</v>
      </c>
      <c r="M44" s="33">
        <v>27</v>
      </c>
      <c r="N44" s="8">
        <v>1.4666666666666666</v>
      </c>
      <c r="O44" s="8">
        <v>0.51639777949432231</v>
      </c>
      <c r="P44" s="8">
        <f t="shared" si="0"/>
        <v>0.13333333333333333</v>
      </c>
      <c r="Q44" s="36">
        <v>41</v>
      </c>
      <c r="R44" s="6">
        <v>1.36666666666667</v>
      </c>
      <c r="S44" s="6">
        <v>0.66867513545937196</v>
      </c>
      <c r="T44" s="6">
        <v>0.12208281844464</v>
      </c>
      <c r="U44" s="35">
        <v>0.1380952380952381</v>
      </c>
      <c r="V44" s="30">
        <v>14.009999999999991</v>
      </c>
    </row>
    <row r="45" spans="1:22">
      <c r="A45" s="18">
        <v>40</v>
      </c>
      <c r="B45" s="12" t="s">
        <v>37</v>
      </c>
      <c r="C45" s="31">
        <v>0</v>
      </c>
      <c r="D45" s="31">
        <v>5</v>
      </c>
      <c r="E45" s="31">
        <v>7</v>
      </c>
      <c r="F45" s="7">
        <v>204.75</v>
      </c>
      <c r="G45" s="7">
        <v>273.01</v>
      </c>
      <c r="H45" s="7">
        <v>307.13</v>
      </c>
      <c r="I45" s="34">
        <v>7</v>
      </c>
      <c r="J45" s="8">
        <v>3.2666666666666702</v>
      </c>
      <c r="K45" s="8">
        <v>0.59361683970466395</v>
      </c>
      <c r="L45" s="8">
        <v>0.153271208946963</v>
      </c>
      <c r="M45" s="33">
        <v>8</v>
      </c>
      <c r="N45" s="8">
        <v>3</v>
      </c>
      <c r="O45" s="8">
        <v>1</v>
      </c>
      <c r="P45" s="8">
        <f t="shared" si="0"/>
        <v>0.2581988897471611</v>
      </c>
      <c r="Q45" s="36">
        <v>8</v>
      </c>
      <c r="R45" s="6">
        <v>3.1333333333333302</v>
      </c>
      <c r="S45" s="6">
        <v>0.81930724872668603</v>
      </c>
      <c r="T45" s="6">
        <v>0.14958435388503399</v>
      </c>
      <c r="U45" s="35">
        <v>0.30555555555555558</v>
      </c>
      <c r="V45" s="30">
        <v>34.120000000000005</v>
      </c>
    </row>
    <row r="46" spans="1:22">
      <c r="A46" s="18">
        <v>41</v>
      </c>
      <c r="B46" s="12" t="s">
        <v>92</v>
      </c>
      <c r="C46" s="31">
        <v>0</v>
      </c>
      <c r="D46" s="31">
        <v>5</v>
      </c>
      <c r="E46" s="31">
        <v>8</v>
      </c>
      <c r="F46" s="7">
        <v>199.55</v>
      </c>
      <c r="G46" s="7">
        <v>266.06</v>
      </c>
      <c r="H46" s="7">
        <v>319.27999999999997</v>
      </c>
      <c r="I46" s="34">
        <v>10</v>
      </c>
      <c r="J46" s="8">
        <v>2.93333333333333</v>
      </c>
      <c r="K46" s="8">
        <v>0.457737708217063</v>
      </c>
      <c r="L46" s="8">
        <v>0.118187368057056</v>
      </c>
      <c r="M46" s="33">
        <v>10</v>
      </c>
      <c r="N46" s="8">
        <v>2.6666666666666665</v>
      </c>
      <c r="O46" s="8">
        <v>0.81649658092772581</v>
      </c>
      <c r="P46" s="8">
        <f t="shared" si="0"/>
        <v>0.2108185106778919</v>
      </c>
      <c r="Q46" s="36">
        <v>11</v>
      </c>
      <c r="R46" s="6">
        <v>2.8</v>
      </c>
      <c r="S46" s="6">
        <v>0.66436383882992001</v>
      </c>
      <c r="T46" s="6">
        <v>0.12129568697262499</v>
      </c>
      <c r="U46" s="35">
        <v>0.13333333333333333</v>
      </c>
      <c r="V46" s="30">
        <v>53.21999999999997</v>
      </c>
    </row>
    <row r="47" spans="1:22">
      <c r="A47" s="18">
        <v>42</v>
      </c>
      <c r="B47" s="12" t="s">
        <v>93</v>
      </c>
      <c r="C47" s="31">
        <v>0</v>
      </c>
      <c r="D47" s="31">
        <v>5</v>
      </c>
      <c r="E47" s="31">
        <v>9</v>
      </c>
      <c r="F47" s="7">
        <v>196.22</v>
      </c>
      <c r="G47" s="7">
        <v>261.63</v>
      </c>
      <c r="H47" s="7">
        <v>327.04000000000002</v>
      </c>
      <c r="I47" s="34">
        <v>1</v>
      </c>
      <c r="J47" s="8">
        <v>3.93333333333333</v>
      </c>
      <c r="K47" s="8">
        <v>0.25819888974716099</v>
      </c>
      <c r="L47" s="8">
        <v>6.6666666666666693E-2</v>
      </c>
      <c r="M47" s="33">
        <v>6</v>
      </c>
      <c r="N47" s="8">
        <v>3.3333333333333335</v>
      </c>
      <c r="O47" s="8">
        <v>0.97590007294853354</v>
      </c>
      <c r="P47" s="8">
        <f t="shared" si="0"/>
        <v>0.25197631533948489</v>
      </c>
      <c r="Q47" s="36">
        <v>4</v>
      </c>
      <c r="R47" s="6">
        <v>3.6333333333333302</v>
      </c>
      <c r="S47" s="6">
        <v>0.76489049625705796</v>
      </c>
      <c r="T47" s="6">
        <v>0.139649259607104</v>
      </c>
      <c r="U47" s="35">
        <v>0.6</v>
      </c>
      <c r="V47" s="30">
        <v>65.41</v>
      </c>
    </row>
    <row r="48" spans="1:22">
      <c r="A48" s="16">
        <v>43</v>
      </c>
      <c r="B48" s="12"/>
      <c r="C48" s="31">
        <v>0</v>
      </c>
      <c r="D48" s="31">
        <v>5</v>
      </c>
      <c r="E48" s="31">
        <v>10</v>
      </c>
      <c r="F48" s="11">
        <v>189.89</v>
      </c>
      <c r="G48" s="11">
        <v>253.19</v>
      </c>
      <c r="H48" s="11">
        <v>341.81</v>
      </c>
      <c r="I48" s="34">
        <v>13</v>
      </c>
      <c r="J48" s="8">
        <v>2.6</v>
      </c>
      <c r="K48" s="8">
        <v>0.63245553203367599</v>
      </c>
      <c r="L48" s="8">
        <v>0.163299316185545</v>
      </c>
      <c r="M48" s="33">
        <v>17</v>
      </c>
      <c r="N48" s="8">
        <v>2.1333333333333333</v>
      </c>
      <c r="O48" s="8">
        <v>0.63994047342218441</v>
      </c>
      <c r="P48" s="8">
        <f t="shared" si="0"/>
        <v>0.16523191974188067</v>
      </c>
      <c r="Q48" s="36">
        <v>19</v>
      </c>
      <c r="R48" s="6">
        <v>2.3666666666666698</v>
      </c>
      <c r="S48" s="6">
        <v>0.66867513545937196</v>
      </c>
      <c r="T48" s="6">
        <v>0.12208281844464</v>
      </c>
      <c r="U48" s="35">
        <v>0.12962962962962962</v>
      </c>
      <c r="V48" s="30">
        <v>63.300000000000011</v>
      </c>
    </row>
    <row r="49" spans="1:22">
      <c r="A49" s="16">
        <v>44</v>
      </c>
      <c r="B49" s="12"/>
      <c r="C49" s="31">
        <v>0</v>
      </c>
      <c r="D49" s="31">
        <v>5</v>
      </c>
      <c r="E49" s="31">
        <v>11</v>
      </c>
      <c r="F49" s="11">
        <v>186.51</v>
      </c>
      <c r="G49" s="11">
        <v>248.68</v>
      </c>
      <c r="H49" s="11">
        <v>349.7</v>
      </c>
      <c r="I49" s="34">
        <v>19</v>
      </c>
      <c r="J49" s="8">
        <v>2.2000000000000002</v>
      </c>
      <c r="K49" s="8">
        <v>0.56061191058138804</v>
      </c>
      <c r="L49" s="8">
        <v>0.144749372891149</v>
      </c>
      <c r="M49" s="33">
        <v>13</v>
      </c>
      <c r="N49" s="8">
        <v>2.4</v>
      </c>
      <c r="O49" s="8">
        <v>0.73678839761300696</v>
      </c>
      <c r="P49" s="8">
        <f t="shared" si="0"/>
        <v>0.19023794624226828</v>
      </c>
      <c r="Q49" s="36">
        <v>20</v>
      </c>
      <c r="R49" s="6">
        <v>2.2999999999999998</v>
      </c>
      <c r="S49" s="6">
        <v>0.65125872818295705</v>
      </c>
      <c r="T49" s="6">
        <v>0.11890303206597699</v>
      </c>
      <c r="U49" s="35">
        <v>8.1944444444444445E-2</v>
      </c>
      <c r="V49" s="30">
        <v>62.170000000000016</v>
      </c>
    </row>
    <row r="50" spans="1:22">
      <c r="A50" s="18">
        <v>45</v>
      </c>
      <c r="B50" s="12" t="s">
        <v>35</v>
      </c>
      <c r="C50" s="31">
        <v>0</v>
      </c>
      <c r="D50" s="31">
        <v>5</v>
      </c>
      <c r="E50" s="31">
        <v>12</v>
      </c>
      <c r="F50" s="7">
        <v>181.13</v>
      </c>
      <c r="G50" s="7">
        <v>241.5</v>
      </c>
      <c r="H50" s="7">
        <v>362.26</v>
      </c>
      <c r="I50" s="34">
        <v>3</v>
      </c>
      <c r="J50" s="8">
        <v>3.8</v>
      </c>
      <c r="K50" s="8">
        <v>0.41403933560541301</v>
      </c>
      <c r="L50" s="8">
        <v>0.10690449676497001</v>
      </c>
      <c r="M50" s="33">
        <v>3</v>
      </c>
      <c r="N50" s="8">
        <v>3.5333333333333332</v>
      </c>
      <c r="O50" s="8">
        <v>0.51639777949432131</v>
      </c>
      <c r="P50" s="8">
        <f t="shared" si="0"/>
        <v>0.13333333333333308</v>
      </c>
      <c r="Q50" s="36">
        <v>3</v>
      </c>
      <c r="R50" s="6">
        <v>3.6666666666666701</v>
      </c>
      <c r="S50" s="6">
        <v>0.47946330148538402</v>
      </c>
      <c r="T50" s="6">
        <v>8.7537621906481705E-2</v>
      </c>
      <c r="U50" s="35">
        <v>0.5</v>
      </c>
      <c r="V50" s="30">
        <v>60.370000000000005</v>
      </c>
    </row>
    <row r="51" spans="1:22">
      <c r="A51" s="16">
        <v>46</v>
      </c>
      <c r="B51" s="12"/>
      <c r="C51" s="31">
        <v>0</v>
      </c>
      <c r="D51" s="31">
        <v>6</v>
      </c>
      <c r="E51" s="31">
        <v>7</v>
      </c>
      <c r="F51" s="11">
        <v>201.25</v>
      </c>
      <c r="G51" s="11">
        <v>281.76</v>
      </c>
      <c r="H51" s="11">
        <v>301.88</v>
      </c>
      <c r="I51" s="34">
        <v>28</v>
      </c>
      <c r="J51" s="8">
        <v>1.6</v>
      </c>
      <c r="K51" s="8">
        <v>0.50709255283710997</v>
      </c>
      <c r="L51" s="8">
        <v>0.13093073414159501</v>
      </c>
      <c r="M51" s="33">
        <v>23</v>
      </c>
      <c r="N51" s="8">
        <v>1.7333333333333334</v>
      </c>
      <c r="O51" s="8">
        <v>0.70373155054899661</v>
      </c>
      <c r="P51" s="8">
        <f t="shared" si="0"/>
        <v>0.18170270503179911</v>
      </c>
      <c r="Q51" s="36">
        <v>34</v>
      </c>
      <c r="R51" s="6">
        <v>1.6666666666666701</v>
      </c>
      <c r="S51" s="6">
        <v>0.60647843486312303</v>
      </c>
      <c r="T51" s="6">
        <v>0.11072730647165301</v>
      </c>
      <c r="U51" s="35">
        <v>0.19047619047619047</v>
      </c>
      <c r="V51" s="30">
        <v>20.120000000000005</v>
      </c>
    </row>
    <row r="52" spans="1:22">
      <c r="A52" s="16">
        <v>47</v>
      </c>
      <c r="B52" s="12"/>
      <c r="C52" s="31">
        <v>0</v>
      </c>
      <c r="D52" s="31">
        <v>6</v>
      </c>
      <c r="E52" s="31">
        <v>8</v>
      </c>
      <c r="F52" s="11">
        <v>196.22</v>
      </c>
      <c r="G52" s="11">
        <v>274.70999999999998</v>
      </c>
      <c r="H52" s="11">
        <v>313.95999999999998</v>
      </c>
      <c r="I52" s="34">
        <v>11</v>
      </c>
      <c r="J52" s="8">
        <v>2.8</v>
      </c>
      <c r="K52" s="8">
        <v>0.41403933560541301</v>
      </c>
      <c r="L52" s="8">
        <v>0.10690449676497001</v>
      </c>
      <c r="M52" s="33">
        <v>12</v>
      </c>
      <c r="N52" s="8">
        <v>2.4666666666666668</v>
      </c>
      <c r="O52" s="8">
        <v>0.83380938783279201</v>
      </c>
      <c r="P52" s="8">
        <f t="shared" si="0"/>
        <v>0.21528865819918697</v>
      </c>
      <c r="Q52" s="36">
        <v>13</v>
      </c>
      <c r="R52" s="6">
        <v>2.6333333333333302</v>
      </c>
      <c r="S52" s="6">
        <v>0.66867513545937196</v>
      </c>
      <c r="T52" s="6">
        <v>0.12208281844464</v>
      </c>
      <c r="U52" s="35">
        <v>0.4</v>
      </c>
      <c r="V52" s="30">
        <v>39.25</v>
      </c>
    </row>
    <row r="53" spans="1:22">
      <c r="A53" s="18">
        <v>48</v>
      </c>
      <c r="B53" s="12" t="s">
        <v>94</v>
      </c>
      <c r="C53" s="31">
        <v>0</v>
      </c>
      <c r="D53" s="31">
        <v>6</v>
      </c>
      <c r="E53" s="31">
        <v>9</v>
      </c>
      <c r="F53" s="7">
        <v>193.01</v>
      </c>
      <c r="G53" s="7">
        <v>270.20999999999998</v>
      </c>
      <c r="H53" s="7">
        <v>321.68</v>
      </c>
      <c r="I53" s="34">
        <v>17</v>
      </c>
      <c r="J53" s="8">
        <v>2.3333333333333299</v>
      </c>
      <c r="K53" s="8">
        <v>0.61721339984836798</v>
      </c>
      <c r="L53" s="8">
        <v>0.15936381457791901</v>
      </c>
      <c r="M53" s="33">
        <v>17</v>
      </c>
      <c r="N53" s="8">
        <v>2.1333333333333333</v>
      </c>
      <c r="O53" s="8">
        <v>0.63994047342218441</v>
      </c>
      <c r="P53" s="8">
        <f t="shared" si="0"/>
        <v>0.16523191974188067</v>
      </c>
      <c r="Q53" s="36">
        <v>22</v>
      </c>
      <c r="R53" s="6">
        <v>2.2333333333333298</v>
      </c>
      <c r="S53" s="6">
        <v>0.62606231557929204</v>
      </c>
      <c r="T53" s="6">
        <v>0.114302817548899</v>
      </c>
      <c r="U53" s="35">
        <v>0.13142857142857142</v>
      </c>
      <c r="V53" s="30">
        <v>51.470000000000027</v>
      </c>
    </row>
    <row r="54" spans="1:22">
      <c r="A54" s="16">
        <v>49</v>
      </c>
      <c r="B54" s="12"/>
      <c r="C54" s="31">
        <v>0</v>
      </c>
      <c r="D54" s="31">
        <v>6</v>
      </c>
      <c r="E54" s="31">
        <v>10</v>
      </c>
      <c r="F54" s="11">
        <v>186.88</v>
      </c>
      <c r="G54" s="11">
        <v>261.63</v>
      </c>
      <c r="H54" s="11">
        <v>336.38</v>
      </c>
      <c r="I54" s="34">
        <v>23</v>
      </c>
      <c r="J54" s="8">
        <v>1.93333333333333</v>
      </c>
      <c r="K54" s="8">
        <v>0.79880863671797997</v>
      </c>
      <c r="L54" s="8">
        <v>0.206251503121026</v>
      </c>
      <c r="M54" s="33">
        <v>20</v>
      </c>
      <c r="N54" s="8">
        <v>1.9333333333333333</v>
      </c>
      <c r="O54" s="8">
        <v>0.88371510168853673</v>
      </c>
      <c r="P54" s="8">
        <f t="shared" si="0"/>
        <v>0.22817425810877978</v>
      </c>
      <c r="Q54" s="36">
        <v>29</v>
      </c>
      <c r="R54" s="6">
        <v>1.93333333333333</v>
      </c>
      <c r="S54" s="6">
        <v>0.82768198679466698</v>
      </c>
      <c r="T54" s="6">
        <v>0.15111336486937699</v>
      </c>
      <c r="U54" s="35">
        <v>0.39047619047619048</v>
      </c>
      <c r="V54" s="30">
        <v>74.75</v>
      </c>
    </row>
    <row r="55" spans="1:22">
      <c r="A55" s="16">
        <v>50</v>
      </c>
      <c r="B55" s="12"/>
      <c r="C55" s="31">
        <v>0</v>
      </c>
      <c r="D55" s="31">
        <v>6</v>
      </c>
      <c r="E55" s="31">
        <v>11</v>
      </c>
      <c r="F55" s="11">
        <v>183.6</v>
      </c>
      <c r="G55" s="11">
        <v>257.04000000000002</v>
      </c>
      <c r="H55" s="11">
        <v>344.25</v>
      </c>
      <c r="I55" s="34">
        <v>22</v>
      </c>
      <c r="J55" s="8">
        <v>2</v>
      </c>
      <c r="K55" s="8">
        <v>0.65465367070797698</v>
      </c>
      <c r="L55" s="8">
        <v>0.169030850945703</v>
      </c>
      <c r="M55" s="33">
        <v>22</v>
      </c>
      <c r="N55" s="8">
        <v>1.8</v>
      </c>
      <c r="O55" s="8">
        <v>0.77459666924148329</v>
      </c>
      <c r="P55" s="8">
        <f t="shared" si="0"/>
        <v>0.19999999999999998</v>
      </c>
      <c r="Q55" s="36">
        <v>30</v>
      </c>
      <c r="R55" s="6">
        <v>1.9</v>
      </c>
      <c r="S55" s="6">
        <v>0.71196667880185105</v>
      </c>
      <c r="T55" s="6">
        <v>0.12998673672393601</v>
      </c>
      <c r="U55" s="35">
        <v>5.095238095238095E-2</v>
      </c>
      <c r="V55" s="30">
        <v>73.440000000000026</v>
      </c>
    </row>
    <row r="56" spans="1:22">
      <c r="A56" s="16">
        <v>51</v>
      </c>
      <c r="B56" s="12"/>
      <c r="C56" s="31">
        <v>0</v>
      </c>
      <c r="D56" s="31">
        <v>6</v>
      </c>
      <c r="E56" s="31">
        <v>12</v>
      </c>
      <c r="F56" s="11">
        <v>178.38</v>
      </c>
      <c r="G56" s="11">
        <v>249.74</v>
      </c>
      <c r="H56" s="11">
        <v>356.77</v>
      </c>
      <c r="I56" s="34">
        <v>20</v>
      </c>
      <c r="J56" s="8">
        <v>2.1333333333333302</v>
      </c>
      <c r="K56" s="8">
        <v>0.74322335295720698</v>
      </c>
      <c r="L56" s="8">
        <v>0.19189944456771299</v>
      </c>
      <c r="M56" s="33">
        <v>11</v>
      </c>
      <c r="N56" s="8">
        <v>2.6</v>
      </c>
      <c r="O56" s="8">
        <v>0.91025898983279929</v>
      </c>
      <c r="P56" s="8">
        <f t="shared" si="0"/>
        <v>0.23502786055720121</v>
      </c>
      <c r="Q56" s="36">
        <v>19</v>
      </c>
      <c r="R56" s="6">
        <v>2.3666666666666698</v>
      </c>
      <c r="S56" s="6">
        <v>0.85028730776551398</v>
      </c>
      <c r="T56" s="6">
        <v>0.15524051294117</v>
      </c>
      <c r="U56" s="35">
        <v>0.31428571428571428</v>
      </c>
      <c r="V56" s="30">
        <v>71.360000000000014</v>
      </c>
    </row>
    <row r="57" spans="1:22">
      <c r="A57" s="16">
        <v>52</v>
      </c>
      <c r="B57" s="12"/>
      <c r="C57" s="31">
        <v>0</v>
      </c>
      <c r="D57" s="31">
        <v>7</v>
      </c>
      <c r="E57" s="31">
        <v>8</v>
      </c>
      <c r="F57" s="11">
        <v>191.44</v>
      </c>
      <c r="G57" s="11">
        <v>287.14999999999998</v>
      </c>
      <c r="H57" s="11">
        <v>306.3</v>
      </c>
      <c r="I57" s="34">
        <v>26</v>
      </c>
      <c r="J57" s="8">
        <v>1.7333333333333301</v>
      </c>
      <c r="K57" s="8">
        <v>0.457737708217063</v>
      </c>
      <c r="L57" s="8">
        <v>0.118187368057056</v>
      </c>
      <c r="M57" s="33">
        <v>20</v>
      </c>
      <c r="N57" s="8">
        <v>1.9333333333333333</v>
      </c>
      <c r="O57" s="8">
        <v>0.5936168397046635</v>
      </c>
      <c r="P57" s="8">
        <f t="shared" si="0"/>
        <v>0.15327120894696261</v>
      </c>
      <c r="Q57" s="36">
        <v>31</v>
      </c>
      <c r="R57" s="6">
        <v>1.8333333333333299</v>
      </c>
      <c r="S57" s="6">
        <v>0.53066863050523205</v>
      </c>
      <c r="T57" s="6">
        <v>9.6886393162696594E-2</v>
      </c>
      <c r="U57" s="35">
        <v>0.18333333333333332</v>
      </c>
      <c r="V57" s="30">
        <v>19.150000000000034</v>
      </c>
    </row>
    <row r="58" spans="1:22">
      <c r="A58" s="16">
        <v>53</v>
      </c>
      <c r="B58" s="12"/>
      <c r="C58" s="31">
        <v>0</v>
      </c>
      <c r="D58" s="31">
        <v>7</v>
      </c>
      <c r="E58" s="31">
        <v>9</v>
      </c>
      <c r="F58" s="11">
        <v>188.37</v>
      </c>
      <c r="G58" s="11">
        <v>282.56</v>
      </c>
      <c r="H58" s="11">
        <v>313.95999999999998</v>
      </c>
      <c r="I58" s="34">
        <v>12</v>
      </c>
      <c r="J58" s="8">
        <v>2.7333333333333298</v>
      </c>
      <c r="K58" s="8">
        <v>0.79880863671797997</v>
      </c>
      <c r="L58" s="8">
        <v>0.206251503121026</v>
      </c>
      <c r="M58" s="33">
        <v>15</v>
      </c>
      <c r="N58" s="8">
        <v>2.2666666666666666</v>
      </c>
      <c r="O58" s="8">
        <v>0.79880863671798041</v>
      </c>
      <c r="P58" s="8">
        <f t="shared" si="0"/>
        <v>0.20625150312102591</v>
      </c>
      <c r="Q58" s="36">
        <v>16</v>
      </c>
      <c r="R58" s="6">
        <v>2.5</v>
      </c>
      <c r="S58" s="6">
        <v>0.82000841038580097</v>
      </c>
      <c r="T58" s="6">
        <v>0.14971236790408601</v>
      </c>
      <c r="U58" s="35">
        <v>0.28888888888888886</v>
      </c>
      <c r="V58" s="30">
        <v>31.399999999999977</v>
      </c>
    </row>
    <row r="59" spans="1:22">
      <c r="A59" s="18">
        <v>54</v>
      </c>
      <c r="B59" s="12"/>
      <c r="C59" s="31">
        <v>0</v>
      </c>
      <c r="D59" s="31">
        <v>7</v>
      </c>
      <c r="E59" s="31">
        <v>10</v>
      </c>
      <c r="F59" s="7">
        <v>182.53</v>
      </c>
      <c r="G59" s="7">
        <v>273.8</v>
      </c>
      <c r="H59" s="7">
        <v>328.56</v>
      </c>
      <c r="I59" s="34">
        <v>15</v>
      </c>
      <c r="J59" s="8">
        <v>2.4666666666666699</v>
      </c>
      <c r="K59" s="8">
        <v>0.915475416434127</v>
      </c>
      <c r="L59" s="8">
        <v>0.236374736114112</v>
      </c>
      <c r="M59" s="33">
        <v>21</v>
      </c>
      <c r="N59" s="8">
        <v>1.8666666666666667</v>
      </c>
      <c r="O59" s="8">
        <v>0.83380938783279201</v>
      </c>
      <c r="P59" s="8">
        <f t="shared" si="0"/>
        <v>0.21528865819918697</v>
      </c>
      <c r="Q59" s="36">
        <v>24</v>
      </c>
      <c r="R59" s="6">
        <v>2.1666666666666701</v>
      </c>
      <c r="S59" s="6">
        <v>0.91287092917527701</v>
      </c>
      <c r="T59" s="6">
        <v>0.16666666666666699</v>
      </c>
      <c r="U59" s="35">
        <v>0.17777777777777778</v>
      </c>
      <c r="V59" s="30">
        <v>54.759999999999991</v>
      </c>
    </row>
    <row r="60" spans="1:22">
      <c r="A60" s="16">
        <v>55</v>
      </c>
      <c r="B60" s="12"/>
      <c r="C60" s="31">
        <v>0</v>
      </c>
      <c r="D60" s="31">
        <v>7</v>
      </c>
      <c r="E60" s="31">
        <v>11</v>
      </c>
      <c r="F60" s="11">
        <v>179.4</v>
      </c>
      <c r="G60" s="11">
        <v>269.11</v>
      </c>
      <c r="H60" s="11">
        <v>336.38</v>
      </c>
      <c r="I60" s="34">
        <v>14</v>
      </c>
      <c r="J60" s="8">
        <v>2.5333333333333301</v>
      </c>
      <c r="K60" s="8">
        <v>0.74322335295720698</v>
      </c>
      <c r="L60" s="8">
        <v>0.19189944456771299</v>
      </c>
      <c r="M60" s="33">
        <v>19</v>
      </c>
      <c r="N60" s="8">
        <v>2</v>
      </c>
      <c r="O60" s="8">
        <v>0.84515425472851657</v>
      </c>
      <c r="P60" s="8">
        <f t="shared" si="0"/>
        <v>0.21821789023599236</v>
      </c>
      <c r="Q60" s="36">
        <v>21</v>
      </c>
      <c r="R60" s="6">
        <v>2.2666666666666702</v>
      </c>
      <c r="S60" s="6">
        <v>0.82768198679466698</v>
      </c>
      <c r="T60" s="6">
        <v>0.15111336486937699</v>
      </c>
      <c r="U60" s="35">
        <v>0.21666666666666667</v>
      </c>
      <c r="V60" s="30">
        <v>67.269999999999982</v>
      </c>
    </row>
    <row r="61" spans="1:22">
      <c r="A61" s="18">
        <v>56</v>
      </c>
      <c r="B61" s="12" t="s">
        <v>35</v>
      </c>
      <c r="C61" s="31">
        <v>0</v>
      </c>
      <c r="D61" s="31">
        <v>7</v>
      </c>
      <c r="E61" s="31">
        <v>12</v>
      </c>
      <c r="F61" s="7">
        <v>174.42</v>
      </c>
      <c r="G61" s="7">
        <v>261.63</v>
      </c>
      <c r="H61" s="7">
        <v>348.84</v>
      </c>
      <c r="I61" s="34">
        <v>1</v>
      </c>
      <c r="J61" s="8">
        <v>3.93333333333333</v>
      </c>
      <c r="K61" s="8">
        <v>0.25819888974716099</v>
      </c>
      <c r="L61" s="8">
        <v>6.6666666666666693E-2</v>
      </c>
      <c r="M61" s="33">
        <v>1</v>
      </c>
      <c r="N61" s="8">
        <v>3.7333333333333334</v>
      </c>
      <c r="O61" s="8">
        <v>0.45773770821706378</v>
      </c>
      <c r="P61" s="8">
        <f t="shared" si="0"/>
        <v>0.11818736805705586</v>
      </c>
      <c r="Q61" s="36">
        <v>1</v>
      </c>
      <c r="R61" s="6">
        <v>3.8333333333333299</v>
      </c>
      <c r="S61" s="6">
        <v>0.37904902178945199</v>
      </c>
      <c r="T61" s="6">
        <v>6.9204566544783297E-2</v>
      </c>
      <c r="U61" s="35">
        <v>0.66666666666666663</v>
      </c>
      <c r="V61" s="30">
        <v>87.20999999999998</v>
      </c>
    </row>
    <row r="62" spans="1:22">
      <c r="A62" s="16">
        <v>57</v>
      </c>
      <c r="B62" s="12"/>
      <c r="C62" s="31">
        <v>0</v>
      </c>
      <c r="D62" s="31">
        <v>8</v>
      </c>
      <c r="E62" s="31">
        <v>9</v>
      </c>
      <c r="F62" s="11">
        <v>183.96</v>
      </c>
      <c r="G62" s="11">
        <v>294.33</v>
      </c>
      <c r="H62" s="11">
        <v>306.60000000000002</v>
      </c>
      <c r="I62" s="34">
        <v>35</v>
      </c>
      <c r="J62" s="8">
        <v>1.06666666666667</v>
      </c>
      <c r="K62" s="8">
        <v>0.25819888974716099</v>
      </c>
      <c r="L62" s="8">
        <v>6.6666666666666693E-2</v>
      </c>
      <c r="M62" s="33">
        <v>28</v>
      </c>
      <c r="N62" s="8">
        <v>1.3333333333333333</v>
      </c>
      <c r="O62" s="8">
        <v>0.48795003647426649</v>
      </c>
      <c r="P62" s="8">
        <f t="shared" si="0"/>
        <v>0.12598815766974239</v>
      </c>
      <c r="Q62" s="36">
        <v>44</v>
      </c>
      <c r="R62" s="6">
        <v>1.2</v>
      </c>
      <c r="S62" s="6">
        <v>0.406838102172486</v>
      </c>
      <c r="T62" s="6">
        <v>7.4278135270820805E-2</v>
      </c>
      <c r="U62" s="35">
        <v>0.12666666666666668</v>
      </c>
      <c r="V62" s="30">
        <v>12.270000000000039</v>
      </c>
    </row>
    <row r="63" spans="1:22">
      <c r="A63" s="16">
        <v>58</v>
      </c>
      <c r="B63" s="12"/>
      <c r="C63" s="31">
        <v>0</v>
      </c>
      <c r="D63" s="31">
        <v>8</v>
      </c>
      <c r="E63" s="31">
        <v>10</v>
      </c>
      <c r="F63" s="11">
        <v>178.38</v>
      </c>
      <c r="G63" s="11">
        <v>285.41000000000003</v>
      </c>
      <c r="H63" s="11">
        <v>321.08999999999997</v>
      </c>
      <c r="I63" s="34">
        <v>20</v>
      </c>
      <c r="J63" s="8">
        <v>2.1333333333333302</v>
      </c>
      <c r="K63" s="8">
        <v>0.83380938783279201</v>
      </c>
      <c r="L63" s="8">
        <v>0.21528865819918699</v>
      </c>
      <c r="M63" s="33">
        <v>22</v>
      </c>
      <c r="N63" s="8">
        <v>1.8</v>
      </c>
      <c r="O63" s="8">
        <v>0.56061191058138804</v>
      </c>
      <c r="P63" s="8">
        <f t="shared" si="0"/>
        <v>0.14474937289114917</v>
      </c>
      <c r="Q63" s="36">
        <v>28</v>
      </c>
      <c r="R63" s="6">
        <v>1.9666666666666699</v>
      </c>
      <c r="S63" s="6">
        <v>0.71839540228413801</v>
      </c>
      <c r="T63" s="6">
        <v>0.13116045567967399</v>
      </c>
      <c r="U63" s="35">
        <v>0.37777777777777777</v>
      </c>
      <c r="V63" s="30">
        <v>35.67999999999995</v>
      </c>
    </row>
    <row r="64" spans="1:22">
      <c r="A64" s="16">
        <v>59</v>
      </c>
      <c r="B64" s="12"/>
      <c r="C64" s="31">
        <v>0</v>
      </c>
      <c r="D64" s="31">
        <v>8</v>
      </c>
      <c r="E64" s="31">
        <v>11</v>
      </c>
      <c r="F64" s="11">
        <v>175.39</v>
      </c>
      <c r="G64" s="11">
        <v>280.63</v>
      </c>
      <c r="H64" s="11">
        <v>328.86</v>
      </c>
      <c r="I64" s="34">
        <v>29</v>
      </c>
      <c r="J64" s="8">
        <v>1.5333333333333301</v>
      </c>
      <c r="K64" s="8">
        <v>0.51639777949432197</v>
      </c>
      <c r="L64" s="8">
        <v>0.133333333333333</v>
      </c>
      <c r="M64" s="33">
        <v>23</v>
      </c>
      <c r="N64" s="8">
        <v>1.7333333333333334</v>
      </c>
      <c r="O64" s="8">
        <v>0.5936168397046635</v>
      </c>
      <c r="P64" s="8">
        <f t="shared" si="0"/>
        <v>0.15327120894696261</v>
      </c>
      <c r="Q64" s="36">
        <v>35</v>
      </c>
      <c r="R64" s="6">
        <v>1.63333333333333</v>
      </c>
      <c r="S64" s="6">
        <v>0.55605341676753595</v>
      </c>
      <c r="T64" s="6">
        <v>0.101520999847134</v>
      </c>
      <c r="U64" s="35">
        <v>4.9166666666666664E-2</v>
      </c>
      <c r="V64" s="30">
        <v>48.230000000000018</v>
      </c>
    </row>
    <row r="65" spans="1:22">
      <c r="A65" s="16">
        <v>60</v>
      </c>
      <c r="B65" s="12"/>
      <c r="C65" s="31">
        <v>0</v>
      </c>
      <c r="D65" s="31">
        <v>8</v>
      </c>
      <c r="E65" s="31">
        <v>12</v>
      </c>
      <c r="F65" s="11">
        <v>170.63</v>
      </c>
      <c r="G65" s="11">
        <v>273.01</v>
      </c>
      <c r="H65" s="11">
        <v>341.26</v>
      </c>
      <c r="I65" s="34">
        <v>7</v>
      </c>
      <c r="J65" s="8">
        <v>3.2666666666666702</v>
      </c>
      <c r="K65" s="8">
        <v>0.70373155054899705</v>
      </c>
      <c r="L65" s="8">
        <v>0.181702705031799</v>
      </c>
      <c r="M65" s="33">
        <v>7</v>
      </c>
      <c r="N65" s="8">
        <v>3.1333333333333333</v>
      </c>
      <c r="O65" s="8">
        <v>0.74322335295720587</v>
      </c>
      <c r="P65" s="8">
        <f t="shared" si="0"/>
        <v>0.19189944456771302</v>
      </c>
      <c r="Q65" s="36">
        <v>7</v>
      </c>
      <c r="R65" s="6">
        <v>3.2</v>
      </c>
      <c r="S65" s="6">
        <v>0.71438422965950699</v>
      </c>
      <c r="T65" s="6">
        <v>0.130428119103488</v>
      </c>
      <c r="U65" s="35">
        <v>0.3</v>
      </c>
      <c r="V65" s="30">
        <v>68.25</v>
      </c>
    </row>
    <row r="66" spans="1:22">
      <c r="A66" s="16">
        <v>61</v>
      </c>
      <c r="B66" s="7"/>
      <c r="C66" s="31">
        <v>0</v>
      </c>
      <c r="D66" s="31">
        <v>9</v>
      </c>
      <c r="E66" s="31">
        <v>10</v>
      </c>
      <c r="F66" s="11">
        <v>175.72</v>
      </c>
      <c r="G66" s="11">
        <v>292.87</v>
      </c>
      <c r="H66" s="11">
        <v>316.3</v>
      </c>
      <c r="I66" s="34">
        <v>33</v>
      </c>
      <c r="J66" s="8">
        <v>1.2</v>
      </c>
      <c r="K66" s="8">
        <v>0.41403933560541301</v>
      </c>
      <c r="L66" s="8">
        <v>0.10690449676497001</v>
      </c>
      <c r="M66" s="33">
        <v>29</v>
      </c>
      <c r="N66" s="8">
        <v>1.2666666666666666</v>
      </c>
      <c r="O66" s="8">
        <v>0.45773770821706344</v>
      </c>
      <c r="P66" s="8">
        <f t="shared" si="0"/>
        <v>0.11818736805705576</v>
      </c>
      <c r="Q66" s="36">
        <v>43</v>
      </c>
      <c r="R66" s="6">
        <v>1.2333333333333301</v>
      </c>
      <c r="S66" s="6">
        <v>0.43018306715207599</v>
      </c>
      <c r="T66" s="6">
        <v>7.8540323245317303E-2</v>
      </c>
      <c r="U66" s="35">
        <v>0.12296296296296297</v>
      </c>
      <c r="V66" s="30">
        <v>23.430000000000007</v>
      </c>
    </row>
    <row r="67" spans="1:22">
      <c r="A67" s="16">
        <v>62</v>
      </c>
      <c r="B67" s="7"/>
      <c r="C67" s="31">
        <v>0</v>
      </c>
      <c r="D67" s="31">
        <v>9</v>
      </c>
      <c r="E67" s="31">
        <v>11</v>
      </c>
      <c r="F67" s="11">
        <v>172.82</v>
      </c>
      <c r="G67" s="11">
        <v>288.02999999999997</v>
      </c>
      <c r="H67" s="11">
        <v>324.04000000000002</v>
      </c>
      <c r="I67" s="34">
        <v>29</v>
      </c>
      <c r="J67" s="8">
        <v>1.5333333333333301</v>
      </c>
      <c r="K67" s="8">
        <v>0.51639777949432197</v>
      </c>
      <c r="L67" s="8">
        <v>0.133333333333333</v>
      </c>
      <c r="M67" s="33">
        <v>26</v>
      </c>
      <c r="N67" s="8">
        <v>1.5333333333333334</v>
      </c>
      <c r="O67" s="8">
        <v>0.51639777949432231</v>
      </c>
      <c r="P67" s="8">
        <f t="shared" si="0"/>
        <v>0.13333333333333333</v>
      </c>
      <c r="Q67" s="36">
        <v>37</v>
      </c>
      <c r="R67" s="6">
        <v>1.5333333333333301</v>
      </c>
      <c r="S67" s="6">
        <v>0.50741626340492496</v>
      </c>
      <c r="T67" s="6">
        <v>9.2641111170620197E-2</v>
      </c>
      <c r="U67" s="35">
        <v>7.7777777777777779E-2</v>
      </c>
      <c r="V67" s="30">
        <v>36.010000000000048</v>
      </c>
    </row>
    <row r="68" spans="1:22">
      <c r="A68" s="18">
        <v>63</v>
      </c>
      <c r="B68" s="7"/>
      <c r="C68" s="31">
        <v>0</v>
      </c>
      <c r="D68" s="31">
        <v>9</v>
      </c>
      <c r="E68" s="31">
        <v>12</v>
      </c>
      <c r="F68" s="7">
        <v>168.19</v>
      </c>
      <c r="G68" s="7">
        <v>280.32</v>
      </c>
      <c r="H68" s="7">
        <v>336.38</v>
      </c>
      <c r="I68" s="34">
        <v>5</v>
      </c>
      <c r="J68" s="8">
        <v>3.4666666666666699</v>
      </c>
      <c r="K68" s="8">
        <v>0.51639777949432197</v>
      </c>
      <c r="L68" s="8">
        <v>0.133333333333333</v>
      </c>
      <c r="M68" s="33">
        <v>11</v>
      </c>
      <c r="N68" s="8">
        <v>2.6</v>
      </c>
      <c r="O68" s="8">
        <v>0.98561076060916208</v>
      </c>
      <c r="P68" s="8">
        <f t="shared" si="0"/>
        <v>0.25448360411214066</v>
      </c>
      <c r="Q68" s="36">
        <v>9</v>
      </c>
      <c r="R68" s="6">
        <v>3.0333333333333301</v>
      </c>
      <c r="S68" s="6">
        <v>0.88991798666422395</v>
      </c>
      <c r="T68" s="6">
        <v>0.16247605187519201</v>
      </c>
      <c r="U68" s="35">
        <v>0.46666666666666667</v>
      </c>
      <c r="V68" s="30">
        <v>56.06</v>
      </c>
    </row>
    <row r="69" spans="1:22">
      <c r="A69" s="16">
        <v>64</v>
      </c>
      <c r="B69" s="11"/>
      <c r="C69" s="31">
        <v>0</v>
      </c>
      <c r="D69" s="31">
        <v>10</v>
      </c>
      <c r="E69" s="31">
        <v>11</v>
      </c>
      <c r="F69" s="11">
        <v>167.89</v>
      </c>
      <c r="G69" s="11">
        <v>302.2</v>
      </c>
      <c r="H69" s="11">
        <v>314.8</v>
      </c>
      <c r="I69" s="34">
        <v>32</v>
      </c>
      <c r="J69" s="8">
        <v>1.2666666666666699</v>
      </c>
      <c r="K69" s="8">
        <v>0.59361683970466395</v>
      </c>
      <c r="L69" s="8">
        <v>0.153271208946963</v>
      </c>
      <c r="M69" s="33">
        <v>31</v>
      </c>
      <c r="N69" s="8">
        <v>1.1333333333333333</v>
      </c>
      <c r="O69" s="8">
        <v>0.51639777949432231</v>
      </c>
      <c r="P69" s="8">
        <f t="shared" si="0"/>
        <v>0.13333333333333333</v>
      </c>
      <c r="Q69" s="36">
        <v>44</v>
      </c>
      <c r="R69" s="6">
        <v>1.2</v>
      </c>
      <c r="S69" s="6">
        <v>0.55086139441974802</v>
      </c>
      <c r="T69" s="6">
        <v>0.10057307059414899</v>
      </c>
      <c r="U69" s="35">
        <v>4.777777777777778E-2</v>
      </c>
      <c r="V69" s="30">
        <v>12.600000000000023</v>
      </c>
    </row>
    <row r="70" spans="1:22">
      <c r="A70" s="16">
        <v>65</v>
      </c>
      <c r="B70" s="11"/>
      <c r="C70" s="31">
        <v>0</v>
      </c>
      <c r="D70" s="31">
        <v>10</v>
      </c>
      <c r="E70" s="31">
        <v>12</v>
      </c>
      <c r="F70" s="11">
        <v>163.52000000000001</v>
      </c>
      <c r="G70" s="11">
        <v>294.33</v>
      </c>
      <c r="H70" s="11">
        <v>327.04000000000002</v>
      </c>
      <c r="I70" s="34">
        <v>22</v>
      </c>
      <c r="J70" s="8">
        <v>2</v>
      </c>
      <c r="K70" s="8">
        <v>0.65465367070797698</v>
      </c>
      <c r="L70" s="8">
        <v>0.169030850945703</v>
      </c>
      <c r="M70" s="33">
        <v>25</v>
      </c>
      <c r="N70" s="8">
        <v>1.6</v>
      </c>
      <c r="O70" s="8">
        <v>0.63245553203367588</v>
      </c>
      <c r="P70" s="8">
        <f t="shared" ref="P70:P71" si="1">O70/SQRT(15)</f>
        <v>0.16329931618554522</v>
      </c>
      <c r="Q70" s="36">
        <v>32</v>
      </c>
      <c r="R70" s="6">
        <v>1.8</v>
      </c>
      <c r="S70" s="6">
        <v>0.66436383882992001</v>
      </c>
      <c r="T70" s="6">
        <v>0.12129568697262499</v>
      </c>
      <c r="U70" s="35">
        <v>0.28888888888888886</v>
      </c>
      <c r="V70" s="30">
        <v>32.710000000000036</v>
      </c>
    </row>
    <row r="71" spans="1:22">
      <c r="A71" s="16">
        <v>66</v>
      </c>
      <c r="B71" s="11"/>
      <c r="C71" s="31">
        <v>0</v>
      </c>
      <c r="D71" s="31">
        <v>11</v>
      </c>
      <c r="E71" s="31">
        <v>12</v>
      </c>
      <c r="F71" s="11">
        <v>161</v>
      </c>
      <c r="G71" s="11">
        <v>301.88</v>
      </c>
      <c r="H71" s="11">
        <v>322.01</v>
      </c>
      <c r="I71" s="34">
        <v>32</v>
      </c>
      <c r="J71" s="8">
        <v>1.2666666666666699</v>
      </c>
      <c r="K71" s="8">
        <v>0.457737708217064</v>
      </c>
      <c r="L71" s="8">
        <v>0.118187368057056</v>
      </c>
      <c r="M71" s="33">
        <v>31</v>
      </c>
      <c r="N71" s="8">
        <v>1.1333333333333333</v>
      </c>
      <c r="O71" s="8">
        <v>0.35186577527449853</v>
      </c>
      <c r="P71" s="8">
        <f t="shared" si="1"/>
        <v>9.0851352515899611E-2</v>
      </c>
      <c r="Q71" s="36">
        <v>44</v>
      </c>
      <c r="R71" s="6">
        <v>1.2</v>
      </c>
      <c r="S71" s="6">
        <v>0.406838102172486</v>
      </c>
      <c r="T71" s="6">
        <v>7.4278135270820805E-2</v>
      </c>
      <c r="U71" s="35">
        <v>0.18333333333333332</v>
      </c>
      <c r="V71" s="30">
        <v>20.129999999999995</v>
      </c>
    </row>
  </sheetData>
  <mergeCells count="10">
    <mergeCell ref="A1:V2"/>
    <mergeCell ref="A3:A4"/>
    <mergeCell ref="B3:B4"/>
    <mergeCell ref="C3:E4"/>
    <mergeCell ref="F3:H4"/>
    <mergeCell ref="I3:L4"/>
    <mergeCell ref="M3:P4"/>
    <mergeCell ref="Q3:T4"/>
    <mergeCell ref="U3:U5"/>
    <mergeCell ref="V3:V5"/>
  </mergeCells>
  <phoneticPr fontId="13" type="noConversion"/>
  <pageMargins left="0.75" right="0.75" top="1" bottom="1" header="0.5" footer="0.5"/>
  <pageSetup fitToHeight="3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5"/>
  <sheetViews>
    <sheetView zoomScale="75" zoomScaleNormal="75" zoomScalePageLayoutView="75" workbookViewId="0">
      <selection activeCell="H15" sqref="H15"/>
    </sheetView>
  </sheetViews>
  <sheetFormatPr baseColWidth="10" defaultRowHeight="15" x14ac:dyDescent="0"/>
  <cols>
    <col min="2" max="2" width="23.83203125" customWidth="1"/>
    <col min="3" max="6" width="6.1640625" customWidth="1"/>
    <col min="7" max="10" width="7.5" customWidth="1"/>
    <col min="11" max="22" width="6.1640625" customWidth="1"/>
  </cols>
  <sheetData>
    <row r="1" spans="1:24">
      <c r="A1" s="64" t="s">
        <v>99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6"/>
    </row>
    <row r="2" spans="1:24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9"/>
    </row>
    <row r="3" spans="1:24">
      <c r="A3" s="57" t="s">
        <v>11</v>
      </c>
      <c r="B3" s="57" t="s">
        <v>6</v>
      </c>
      <c r="C3" s="57" t="s">
        <v>2</v>
      </c>
      <c r="D3" s="57"/>
      <c r="E3" s="57"/>
      <c r="F3" s="57"/>
      <c r="G3" s="55" t="s">
        <v>1</v>
      </c>
      <c r="H3" s="55"/>
      <c r="I3" s="55"/>
      <c r="J3" s="55"/>
      <c r="K3" s="55" t="s">
        <v>31</v>
      </c>
      <c r="L3" s="55"/>
      <c r="M3" s="55"/>
      <c r="N3" s="55"/>
      <c r="O3" s="55" t="s">
        <v>32</v>
      </c>
      <c r="P3" s="55"/>
      <c r="Q3" s="55"/>
      <c r="R3" s="55"/>
      <c r="S3" s="55" t="s">
        <v>30</v>
      </c>
      <c r="T3" s="55"/>
      <c r="U3" s="55"/>
      <c r="V3" s="55"/>
      <c r="W3" s="53" t="s">
        <v>40</v>
      </c>
      <c r="X3" s="53" t="s">
        <v>39</v>
      </c>
    </row>
    <row r="4" spans="1:24">
      <c r="A4" s="57"/>
      <c r="B4" s="57"/>
      <c r="C4" s="57"/>
      <c r="D4" s="57"/>
      <c r="E4" s="57"/>
      <c r="F4" s="57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3"/>
      <c r="X4" s="53"/>
    </row>
    <row r="5" spans="1:24">
      <c r="A5" s="5"/>
      <c r="B5" s="5"/>
      <c r="C5" s="41" t="s">
        <v>7</v>
      </c>
      <c r="D5" s="41" t="s">
        <v>8</v>
      </c>
      <c r="E5" s="41" t="s">
        <v>9</v>
      </c>
      <c r="F5" s="41" t="s">
        <v>10</v>
      </c>
      <c r="G5" s="42" t="s">
        <v>7</v>
      </c>
      <c r="H5" s="42" t="s">
        <v>8</v>
      </c>
      <c r="I5" s="42" t="s">
        <v>9</v>
      </c>
      <c r="J5" s="42" t="s">
        <v>10</v>
      </c>
      <c r="K5" s="43" t="s">
        <v>0</v>
      </c>
      <c r="L5" s="44" t="s">
        <v>3</v>
      </c>
      <c r="M5" s="44" t="s">
        <v>4</v>
      </c>
      <c r="N5" s="44" t="s">
        <v>5</v>
      </c>
      <c r="O5" s="45" t="s">
        <v>0</v>
      </c>
      <c r="P5" s="44" t="s">
        <v>3</v>
      </c>
      <c r="Q5" s="44" t="s">
        <v>4</v>
      </c>
      <c r="R5" s="44" t="s">
        <v>5</v>
      </c>
      <c r="S5" s="43" t="s">
        <v>0</v>
      </c>
      <c r="T5" s="44" t="s">
        <v>3</v>
      </c>
      <c r="U5" s="44" t="s">
        <v>4</v>
      </c>
      <c r="V5" s="44" t="s">
        <v>5</v>
      </c>
      <c r="W5" s="53"/>
      <c r="X5" s="53"/>
    </row>
    <row r="6" spans="1:24">
      <c r="A6" s="13">
        <v>1</v>
      </c>
      <c r="B6" s="4"/>
      <c r="C6" s="36">
        <v>0</v>
      </c>
      <c r="D6" s="37">
        <v>1</v>
      </c>
      <c r="E6" s="37">
        <v>2</v>
      </c>
      <c r="F6" s="37">
        <v>3</v>
      </c>
      <c r="G6" s="12">
        <v>238.3</v>
      </c>
      <c r="H6" s="12">
        <v>254.18</v>
      </c>
      <c r="I6" s="12">
        <v>268.08</v>
      </c>
      <c r="J6" s="12">
        <v>285.95999999999998</v>
      </c>
      <c r="K6" s="34">
        <v>38</v>
      </c>
      <c r="L6" s="8">
        <v>1.13333333333333</v>
      </c>
      <c r="M6" s="8">
        <v>0.35186577527449803</v>
      </c>
      <c r="N6" s="8">
        <v>9.0851352515899597E-2</v>
      </c>
      <c r="O6" s="36">
        <v>31</v>
      </c>
      <c r="P6" s="9">
        <v>1.6666666670000001</v>
      </c>
      <c r="Q6" s="9">
        <v>0.72374686399999999</v>
      </c>
      <c r="R6" s="9">
        <v>0.18687063700000001</v>
      </c>
      <c r="S6" s="33">
        <v>63</v>
      </c>
      <c r="T6" s="14">
        <v>1.4</v>
      </c>
      <c r="U6" s="8">
        <v>0.62145546626586601</v>
      </c>
      <c r="V6" s="8">
        <v>0.11346172578623499</v>
      </c>
      <c r="W6" s="35">
        <v>2.6967592592592592E-2</v>
      </c>
      <c r="X6" s="30">
        <v>13.899999999999977</v>
      </c>
    </row>
    <row r="7" spans="1:24">
      <c r="A7" s="15">
        <v>2</v>
      </c>
      <c r="B7" s="4"/>
      <c r="C7" s="32">
        <v>0</v>
      </c>
      <c r="D7" s="31">
        <v>1</v>
      </c>
      <c r="E7" s="31">
        <v>2</v>
      </c>
      <c r="F7" s="31">
        <v>4</v>
      </c>
      <c r="G7" s="7">
        <v>235.61</v>
      </c>
      <c r="H7" s="7">
        <v>251.32</v>
      </c>
      <c r="I7" s="7">
        <v>265.07</v>
      </c>
      <c r="J7" s="7">
        <v>294.52</v>
      </c>
      <c r="K7" s="40">
        <v>36</v>
      </c>
      <c r="L7" s="8">
        <v>1.2666666666666699</v>
      </c>
      <c r="M7" s="8">
        <v>0.59361683970466395</v>
      </c>
      <c r="N7" s="8">
        <v>0.153271208946963</v>
      </c>
      <c r="O7" s="32">
        <v>30</v>
      </c>
      <c r="P7" s="9">
        <v>1.733333333</v>
      </c>
      <c r="Q7" s="9">
        <v>0.59361684000000003</v>
      </c>
      <c r="R7" s="9">
        <v>0.15327120899999999</v>
      </c>
      <c r="S7" s="33">
        <v>60</v>
      </c>
      <c r="T7" s="14">
        <v>1.5</v>
      </c>
      <c r="U7" s="8">
        <v>0.62972352992240299</v>
      </c>
      <c r="V7" s="8">
        <v>0.11497126077676</v>
      </c>
      <c r="W7" s="35">
        <v>2.6550925925925926E-2</v>
      </c>
      <c r="X7" s="30">
        <v>13.75</v>
      </c>
    </row>
    <row r="8" spans="1:24">
      <c r="A8" s="15">
        <v>3</v>
      </c>
      <c r="B8" s="4"/>
      <c r="C8" s="32">
        <v>0</v>
      </c>
      <c r="D8" s="31">
        <v>1</v>
      </c>
      <c r="E8" s="31">
        <v>2</v>
      </c>
      <c r="F8" s="31">
        <v>5</v>
      </c>
      <c r="G8" s="7">
        <v>231.28</v>
      </c>
      <c r="H8" s="7">
        <v>246.69</v>
      </c>
      <c r="I8" s="7">
        <v>260.18</v>
      </c>
      <c r="J8" s="7">
        <v>308.37</v>
      </c>
      <c r="K8" s="40">
        <v>35</v>
      </c>
      <c r="L8" s="8">
        <v>1.3333333333333299</v>
      </c>
      <c r="M8" s="8">
        <v>0.61721339984836798</v>
      </c>
      <c r="N8" s="8">
        <v>0.15936381457791901</v>
      </c>
      <c r="O8" s="32">
        <v>25</v>
      </c>
      <c r="P8" s="9">
        <v>2.0666666669999998</v>
      </c>
      <c r="Q8" s="9">
        <v>0.88371510200000003</v>
      </c>
      <c r="R8" s="9">
        <v>0.22817425799999999</v>
      </c>
      <c r="S8" s="33">
        <v>54</v>
      </c>
      <c r="T8" s="14">
        <v>1.7</v>
      </c>
      <c r="U8" s="8">
        <v>0.83666002653407501</v>
      </c>
      <c r="V8" s="8">
        <v>0.152752523165195</v>
      </c>
      <c r="W8" s="35">
        <v>2.5231481481481483E-2</v>
      </c>
      <c r="X8" s="30">
        <v>13.490000000000009</v>
      </c>
    </row>
    <row r="9" spans="1:24">
      <c r="A9" s="15">
        <v>4</v>
      </c>
      <c r="B9" s="4"/>
      <c r="C9" s="32">
        <v>0</v>
      </c>
      <c r="D9" s="31">
        <v>1</v>
      </c>
      <c r="E9" s="31">
        <v>2</v>
      </c>
      <c r="F9" s="31">
        <v>6</v>
      </c>
      <c r="G9" s="7">
        <v>227.92</v>
      </c>
      <c r="H9" s="7">
        <v>243.11</v>
      </c>
      <c r="I9" s="7">
        <v>256.41000000000003</v>
      </c>
      <c r="J9" s="7">
        <v>319.08</v>
      </c>
      <c r="K9" s="40">
        <v>36</v>
      </c>
      <c r="L9" s="8">
        <v>1.2666666666666699</v>
      </c>
      <c r="M9" s="8">
        <v>0.457737708217063</v>
      </c>
      <c r="N9" s="8">
        <v>0.118187368057056</v>
      </c>
      <c r="O9" s="32">
        <v>27</v>
      </c>
      <c r="P9" s="9">
        <v>1.933333333</v>
      </c>
      <c r="Q9" s="9">
        <v>0.79880863700000004</v>
      </c>
      <c r="R9" s="9">
        <v>0.206251503</v>
      </c>
      <c r="S9" s="33">
        <v>57</v>
      </c>
      <c r="T9" s="14">
        <v>1.6</v>
      </c>
      <c r="U9" s="8">
        <v>0.72397370880059098</v>
      </c>
      <c r="V9" s="8">
        <v>0.13217891045025301</v>
      </c>
      <c r="W9" s="35">
        <v>2.6570767195767196E-2</v>
      </c>
      <c r="X9" s="30">
        <v>13.300000000000011</v>
      </c>
    </row>
    <row r="10" spans="1:24">
      <c r="A10" s="13">
        <v>5</v>
      </c>
      <c r="B10" s="4" t="s">
        <v>80</v>
      </c>
      <c r="C10" s="36">
        <v>0</v>
      </c>
      <c r="D10" s="37">
        <v>1</v>
      </c>
      <c r="E10" s="37">
        <v>2</v>
      </c>
      <c r="F10" s="37">
        <v>7</v>
      </c>
      <c r="G10" s="12">
        <v>223.06</v>
      </c>
      <c r="H10" s="12">
        <v>237.93</v>
      </c>
      <c r="I10" s="12">
        <v>250.94</v>
      </c>
      <c r="J10" s="12">
        <v>334.59</v>
      </c>
      <c r="K10" s="34">
        <v>37</v>
      </c>
      <c r="L10" s="8">
        <v>1.2</v>
      </c>
      <c r="M10" s="8">
        <v>0.41403933560541301</v>
      </c>
      <c r="N10" s="8">
        <v>0.10690449676497001</v>
      </c>
      <c r="O10" s="36">
        <v>30</v>
      </c>
      <c r="P10" s="9">
        <v>1.733333333</v>
      </c>
      <c r="Q10" s="9">
        <v>0.59361684000000003</v>
      </c>
      <c r="R10" s="9">
        <v>0.15327120899999999</v>
      </c>
      <c r="S10" s="33">
        <v>61</v>
      </c>
      <c r="T10" s="14">
        <v>1.4666666666666699</v>
      </c>
      <c r="U10" s="8">
        <v>0.57134646372336595</v>
      </c>
      <c r="V10" s="8">
        <v>0.104313115444032</v>
      </c>
      <c r="W10" s="35">
        <v>2.3958333333333335E-2</v>
      </c>
      <c r="X10" s="30">
        <v>13.009999999999991</v>
      </c>
    </row>
    <row r="11" spans="1:24">
      <c r="A11" s="15">
        <v>6</v>
      </c>
      <c r="B11" s="4"/>
      <c r="C11" s="32">
        <v>0</v>
      </c>
      <c r="D11" s="31">
        <v>1</v>
      </c>
      <c r="E11" s="31">
        <v>2</v>
      </c>
      <c r="F11" s="31">
        <v>8</v>
      </c>
      <c r="G11" s="7">
        <v>218.4</v>
      </c>
      <c r="H11" s="7">
        <v>232.96</v>
      </c>
      <c r="I11" s="7">
        <v>245.7</v>
      </c>
      <c r="J11" s="7">
        <v>349.45</v>
      </c>
      <c r="K11" s="40">
        <v>38</v>
      </c>
      <c r="L11" s="8">
        <v>1.13333333333333</v>
      </c>
      <c r="M11" s="8">
        <v>0.35186577527449803</v>
      </c>
      <c r="N11" s="8">
        <v>9.0851352515899597E-2</v>
      </c>
      <c r="O11" s="32">
        <v>29</v>
      </c>
      <c r="P11" s="9">
        <v>1.8</v>
      </c>
      <c r="Q11" s="9">
        <v>0.56061191099999996</v>
      </c>
      <c r="R11" s="9">
        <v>0.14474937299999999</v>
      </c>
      <c r="S11" s="33">
        <v>61</v>
      </c>
      <c r="T11" s="14">
        <v>1.4666666666666699</v>
      </c>
      <c r="U11" s="8">
        <v>0.57134646372336595</v>
      </c>
      <c r="V11" s="8">
        <v>0.104313115444032</v>
      </c>
      <c r="W11" s="35">
        <v>2.4189814814814813E-2</v>
      </c>
      <c r="X11" s="30">
        <v>12.739999999999981</v>
      </c>
    </row>
    <row r="12" spans="1:24">
      <c r="A12" s="15">
        <v>7</v>
      </c>
      <c r="B12" s="4"/>
      <c r="C12" s="32">
        <v>0</v>
      </c>
      <c r="D12" s="31">
        <v>1</v>
      </c>
      <c r="E12" s="31">
        <v>2</v>
      </c>
      <c r="F12" s="31">
        <v>9</v>
      </c>
      <c r="G12" s="7">
        <v>215.41</v>
      </c>
      <c r="H12" s="7">
        <v>229.77</v>
      </c>
      <c r="I12" s="7">
        <v>242.33</v>
      </c>
      <c r="J12" s="7">
        <v>359.01</v>
      </c>
      <c r="K12" s="40">
        <v>37</v>
      </c>
      <c r="L12" s="8">
        <v>1.2</v>
      </c>
      <c r="M12" s="8">
        <v>0.41403933560541301</v>
      </c>
      <c r="N12" s="8">
        <v>0.10690449676497001</v>
      </c>
      <c r="O12" s="32">
        <v>31</v>
      </c>
      <c r="P12" s="9">
        <v>1.6666666670000001</v>
      </c>
      <c r="Q12" s="9">
        <v>0.61721340000000002</v>
      </c>
      <c r="R12" s="9">
        <v>0.15936381499999999</v>
      </c>
      <c r="S12" s="33">
        <v>62</v>
      </c>
      <c r="T12" s="14">
        <v>1.43333333333333</v>
      </c>
      <c r="U12" s="8">
        <v>0.56832077715593499</v>
      </c>
      <c r="V12" s="8">
        <v>0.103760703182391</v>
      </c>
      <c r="W12" s="35">
        <v>2.5231481481481483E-2</v>
      </c>
      <c r="X12" s="30">
        <v>12.560000000000002</v>
      </c>
    </row>
    <row r="13" spans="1:24">
      <c r="A13" s="15">
        <v>8</v>
      </c>
      <c r="B13" s="4"/>
      <c r="C13" s="32">
        <v>0</v>
      </c>
      <c r="D13" s="31">
        <v>1</v>
      </c>
      <c r="E13" s="31">
        <v>2</v>
      </c>
      <c r="F13" s="31">
        <v>10</v>
      </c>
      <c r="G13" s="7">
        <v>209.65</v>
      </c>
      <c r="H13" s="7">
        <v>223.63</v>
      </c>
      <c r="I13" s="7">
        <v>235.86</v>
      </c>
      <c r="J13" s="7">
        <v>377.38</v>
      </c>
      <c r="K13" s="40">
        <v>37</v>
      </c>
      <c r="L13" s="8">
        <v>1.2</v>
      </c>
      <c r="M13" s="8">
        <v>0.41403933560541301</v>
      </c>
      <c r="N13" s="8">
        <v>0.10690449676497001</v>
      </c>
      <c r="O13" s="32">
        <v>37</v>
      </c>
      <c r="P13" s="9">
        <v>1.266666667</v>
      </c>
      <c r="Q13" s="9">
        <v>0.59361684000000003</v>
      </c>
      <c r="R13" s="9">
        <v>0.15327120899999999</v>
      </c>
      <c r="S13" s="33">
        <v>68</v>
      </c>
      <c r="T13" s="14">
        <v>1.2333333333333301</v>
      </c>
      <c r="U13" s="8">
        <v>0.504006932993731</v>
      </c>
      <c r="V13" s="8">
        <v>9.2018655446553702E-2</v>
      </c>
      <c r="W13" s="35">
        <v>2.5578703703703704E-2</v>
      </c>
      <c r="X13" s="30">
        <v>12.230000000000018</v>
      </c>
    </row>
    <row r="14" spans="1:24">
      <c r="A14" s="15">
        <v>9</v>
      </c>
      <c r="B14" s="4"/>
      <c r="C14" s="32">
        <v>0</v>
      </c>
      <c r="D14" s="31">
        <v>1</v>
      </c>
      <c r="E14" s="31">
        <v>2</v>
      </c>
      <c r="F14" s="31">
        <v>11</v>
      </c>
      <c r="G14" s="7">
        <v>206.55</v>
      </c>
      <c r="H14" s="7">
        <v>220.32</v>
      </c>
      <c r="I14" s="7">
        <v>232.37</v>
      </c>
      <c r="J14" s="7">
        <v>387.28</v>
      </c>
      <c r="K14" s="40">
        <v>39</v>
      </c>
      <c r="L14" s="8">
        <v>1</v>
      </c>
      <c r="M14" s="8">
        <v>0</v>
      </c>
      <c r="N14" s="8">
        <v>0</v>
      </c>
      <c r="O14" s="32">
        <v>39</v>
      </c>
      <c r="P14" s="9">
        <v>1.066666667</v>
      </c>
      <c r="Q14" s="9">
        <v>0.25819889000000001</v>
      </c>
      <c r="R14" s="9">
        <v>6.6666666999999999E-2</v>
      </c>
      <c r="S14" s="33">
        <v>72</v>
      </c>
      <c r="T14" s="14">
        <v>1.0333333333333301</v>
      </c>
      <c r="U14" s="8">
        <v>0.182574185835055</v>
      </c>
      <c r="V14" s="8">
        <v>3.3333333333333298E-2</v>
      </c>
      <c r="W14" s="35">
        <v>2.4699074074074075E-2</v>
      </c>
      <c r="X14" s="30">
        <v>12.050000000000011</v>
      </c>
    </row>
    <row r="15" spans="1:24">
      <c r="A15" s="15">
        <v>10</v>
      </c>
      <c r="B15" s="4"/>
      <c r="C15" s="32">
        <v>0</v>
      </c>
      <c r="D15" s="31">
        <v>1</v>
      </c>
      <c r="E15" s="31">
        <v>2</v>
      </c>
      <c r="F15" s="31">
        <v>12</v>
      </c>
      <c r="G15" s="7">
        <v>201.58</v>
      </c>
      <c r="H15" s="7">
        <v>215.02</v>
      </c>
      <c r="I15" s="7">
        <v>226.77</v>
      </c>
      <c r="J15" s="7">
        <v>403.15</v>
      </c>
      <c r="K15" s="40">
        <v>39</v>
      </c>
      <c r="L15" s="8">
        <v>1</v>
      </c>
      <c r="M15" s="8">
        <v>0</v>
      </c>
      <c r="N15" s="8">
        <v>0</v>
      </c>
      <c r="O15" s="32">
        <v>38</v>
      </c>
      <c r="P15" s="9">
        <v>1.2</v>
      </c>
      <c r="Q15" s="9">
        <v>0.56061191099999996</v>
      </c>
      <c r="R15" s="9">
        <v>0.14474937299999999</v>
      </c>
      <c r="S15" s="33">
        <v>71</v>
      </c>
      <c r="T15" s="14">
        <v>1.1000000000000001</v>
      </c>
      <c r="U15" s="8">
        <v>0.40257789993644899</v>
      </c>
      <c r="V15" s="8">
        <v>7.3500332316083494E-2</v>
      </c>
      <c r="W15" s="35">
        <v>2.210648148148148E-2</v>
      </c>
      <c r="X15" s="30">
        <v>11.75</v>
      </c>
    </row>
    <row r="16" spans="1:24">
      <c r="A16" s="15">
        <v>11</v>
      </c>
      <c r="B16" s="4"/>
      <c r="C16" s="32">
        <v>0</v>
      </c>
      <c r="D16" s="31">
        <v>1</v>
      </c>
      <c r="E16" s="31">
        <v>3</v>
      </c>
      <c r="F16" s="31">
        <v>4</v>
      </c>
      <c r="G16" s="7">
        <v>231.7</v>
      </c>
      <c r="H16" s="7">
        <v>247.15</v>
      </c>
      <c r="I16" s="7">
        <v>278.04000000000002</v>
      </c>
      <c r="J16" s="7">
        <v>289.63</v>
      </c>
      <c r="K16" s="40">
        <v>38</v>
      </c>
      <c r="L16" s="8">
        <v>1.13333333333333</v>
      </c>
      <c r="M16" s="8">
        <v>0.35186577527449803</v>
      </c>
      <c r="N16" s="8">
        <v>9.0851352515899597E-2</v>
      </c>
      <c r="O16" s="32">
        <v>31</v>
      </c>
      <c r="P16" s="9">
        <v>1.6666666670000001</v>
      </c>
      <c r="Q16" s="9">
        <v>0.816496581</v>
      </c>
      <c r="R16" s="9">
        <v>0.21081851099999999</v>
      </c>
      <c r="S16" s="33">
        <v>63</v>
      </c>
      <c r="T16" s="14">
        <v>1.4</v>
      </c>
      <c r="U16" s="8">
        <v>0.67466466766320499</v>
      </c>
      <c r="V16" s="8">
        <v>0.123176352410288</v>
      </c>
      <c r="W16" s="35">
        <v>5.0972222222222224E-2</v>
      </c>
      <c r="X16" s="30">
        <v>11.589999999999975</v>
      </c>
    </row>
    <row r="17" spans="1:24">
      <c r="A17" s="15">
        <v>12</v>
      </c>
      <c r="B17" s="4"/>
      <c r="C17" s="32">
        <v>0</v>
      </c>
      <c r="D17" s="31">
        <v>1</v>
      </c>
      <c r="E17" s="31">
        <v>3</v>
      </c>
      <c r="F17" s="31">
        <v>5</v>
      </c>
      <c r="G17" s="7">
        <v>227.5</v>
      </c>
      <c r="H17" s="7">
        <v>242.67</v>
      </c>
      <c r="I17" s="7">
        <v>273.01</v>
      </c>
      <c r="J17" s="7">
        <v>303.33999999999997</v>
      </c>
      <c r="K17" s="40">
        <v>30</v>
      </c>
      <c r="L17" s="8">
        <v>1.6666666666666701</v>
      </c>
      <c r="M17" s="8">
        <v>0.61721339984836798</v>
      </c>
      <c r="N17" s="8">
        <v>0.15936381457791901</v>
      </c>
      <c r="O17" s="32">
        <v>26</v>
      </c>
      <c r="P17" s="9">
        <v>2</v>
      </c>
      <c r="Q17" s="9">
        <v>0.53452248400000002</v>
      </c>
      <c r="R17" s="9">
        <v>0.13801311199999999</v>
      </c>
      <c r="S17" s="33">
        <v>50</v>
      </c>
      <c r="T17" s="14">
        <v>1.8333333333333299</v>
      </c>
      <c r="U17" s="8">
        <v>0.59209349991675997</v>
      </c>
      <c r="V17" s="8">
        <v>0.108100988685531</v>
      </c>
      <c r="W17" s="35">
        <v>0.18888888888888888</v>
      </c>
      <c r="X17" s="30">
        <v>15.169999999999987</v>
      </c>
    </row>
    <row r="18" spans="1:24">
      <c r="A18" s="15">
        <v>13</v>
      </c>
      <c r="B18" s="4"/>
      <c r="C18" s="32">
        <v>0</v>
      </c>
      <c r="D18" s="31">
        <v>1</v>
      </c>
      <c r="E18" s="31">
        <v>3</v>
      </c>
      <c r="F18" s="31">
        <v>6</v>
      </c>
      <c r="G18" s="7">
        <v>224.25</v>
      </c>
      <c r="H18" s="7">
        <v>239.2</v>
      </c>
      <c r="I18" s="7">
        <v>269.11</v>
      </c>
      <c r="J18" s="7">
        <v>313.95999999999998</v>
      </c>
      <c r="K18" s="40">
        <v>36</v>
      </c>
      <c r="L18" s="8">
        <v>1.2666666666666699</v>
      </c>
      <c r="M18" s="8">
        <v>0.457737708217064</v>
      </c>
      <c r="N18" s="8">
        <v>0.118187368057056</v>
      </c>
      <c r="O18" s="32">
        <v>28</v>
      </c>
      <c r="P18" s="9">
        <v>1.8666666670000001</v>
      </c>
      <c r="Q18" s="9">
        <v>0.83380938800000004</v>
      </c>
      <c r="R18" s="9">
        <v>0.21528865799999999</v>
      </c>
      <c r="S18" s="33">
        <v>58</v>
      </c>
      <c r="T18" s="14">
        <v>1.56666666666667</v>
      </c>
      <c r="U18" s="8">
        <v>0.72793204179460602</v>
      </c>
      <c r="V18" s="8">
        <v>0.13290159987389999</v>
      </c>
      <c r="W18" s="35">
        <v>0.19404761904761905</v>
      </c>
      <c r="X18" s="30">
        <v>14.949999999999989</v>
      </c>
    </row>
    <row r="19" spans="1:24">
      <c r="A19" s="13">
        <v>14</v>
      </c>
      <c r="B19" s="4" t="s">
        <v>70</v>
      </c>
      <c r="C19" s="36">
        <v>0</v>
      </c>
      <c r="D19" s="37">
        <v>1</v>
      </c>
      <c r="E19" s="37">
        <v>3</v>
      </c>
      <c r="F19" s="37">
        <v>7</v>
      </c>
      <c r="G19" s="12">
        <v>219.55</v>
      </c>
      <c r="H19" s="12">
        <v>234.19</v>
      </c>
      <c r="I19" s="12">
        <v>263.45999999999998</v>
      </c>
      <c r="J19" s="12">
        <v>329.32</v>
      </c>
      <c r="K19" s="34">
        <v>30</v>
      </c>
      <c r="L19" s="8">
        <v>1.6666666666666701</v>
      </c>
      <c r="M19" s="8">
        <v>0.61721339984836798</v>
      </c>
      <c r="N19" s="8">
        <v>0.15936381457791901</v>
      </c>
      <c r="O19" s="36">
        <v>25</v>
      </c>
      <c r="P19" s="9">
        <v>2.0666666669999998</v>
      </c>
      <c r="Q19" s="9">
        <v>0.79880863700000004</v>
      </c>
      <c r="R19" s="9">
        <v>0.206251503</v>
      </c>
      <c r="S19" s="33">
        <v>49</v>
      </c>
      <c r="T19" s="14">
        <v>1.86666666666667</v>
      </c>
      <c r="U19" s="8">
        <v>0.73029674334022099</v>
      </c>
      <c r="V19" s="8">
        <v>0.133333333333333</v>
      </c>
      <c r="W19" s="35">
        <v>9.3055555555555558E-2</v>
      </c>
      <c r="X19" s="30">
        <v>14.639999999999986</v>
      </c>
    </row>
    <row r="20" spans="1:24">
      <c r="A20" s="15">
        <v>15</v>
      </c>
      <c r="B20" s="4"/>
      <c r="C20" s="32">
        <v>0</v>
      </c>
      <c r="D20" s="31">
        <v>1</v>
      </c>
      <c r="E20" s="31">
        <v>3</v>
      </c>
      <c r="F20" s="31">
        <v>8</v>
      </c>
      <c r="G20" s="7">
        <v>215.04</v>
      </c>
      <c r="H20" s="7">
        <v>229.37</v>
      </c>
      <c r="I20" s="7">
        <v>258.05</v>
      </c>
      <c r="J20" s="7">
        <v>344.06</v>
      </c>
      <c r="K20" s="40">
        <v>28</v>
      </c>
      <c r="L20" s="8">
        <v>1.8</v>
      </c>
      <c r="M20" s="8">
        <v>0.67612340378281299</v>
      </c>
      <c r="N20" s="8">
        <v>0.17457431218879399</v>
      </c>
      <c r="O20" s="32">
        <v>23</v>
      </c>
      <c r="P20" s="9">
        <v>2.2000000000000002</v>
      </c>
      <c r="Q20" s="9">
        <v>0.67612340400000004</v>
      </c>
      <c r="R20" s="9">
        <v>0.17457431200000001</v>
      </c>
      <c r="S20" s="33">
        <v>45</v>
      </c>
      <c r="T20" s="14">
        <v>2</v>
      </c>
      <c r="U20" s="8">
        <v>0.69480833377965101</v>
      </c>
      <c r="V20" s="8">
        <v>0.12685406585123099</v>
      </c>
      <c r="W20" s="35">
        <v>0.17499999999999999</v>
      </c>
      <c r="X20" s="30">
        <v>14.330000000000013</v>
      </c>
    </row>
    <row r="21" spans="1:24">
      <c r="A21" s="13">
        <v>16</v>
      </c>
      <c r="B21" s="4"/>
      <c r="C21" s="36">
        <v>0</v>
      </c>
      <c r="D21" s="37">
        <v>1</v>
      </c>
      <c r="E21" s="37">
        <v>3</v>
      </c>
      <c r="F21" s="37">
        <v>9</v>
      </c>
      <c r="G21" s="12">
        <v>212.13</v>
      </c>
      <c r="H21" s="12">
        <v>226.27</v>
      </c>
      <c r="I21" s="12">
        <v>254.56</v>
      </c>
      <c r="J21" s="12">
        <v>353.55</v>
      </c>
      <c r="K21" s="34">
        <v>34</v>
      </c>
      <c r="L21" s="8">
        <v>1.4</v>
      </c>
      <c r="M21" s="8">
        <v>0.50709255283710997</v>
      </c>
      <c r="N21" s="8">
        <v>0.13093073414159501</v>
      </c>
      <c r="O21" s="36">
        <v>30</v>
      </c>
      <c r="P21" s="9">
        <v>1.733333333</v>
      </c>
      <c r="Q21" s="9">
        <v>0.70373155099999996</v>
      </c>
      <c r="R21" s="9">
        <v>0.18170270499999999</v>
      </c>
      <c r="S21" s="33">
        <v>58</v>
      </c>
      <c r="T21" s="14">
        <v>1.56666666666667</v>
      </c>
      <c r="U21" s="8">
        <v>0.62606231557929304</v>
      </c>
      <c r="V21" s="8">
        <v>0.114302817548899</v>
      </c>
      <c r="W21" s="35">
        <v>0.18888888888888888</v>
      </c>
      <c r="X21" s="30">
        <v>14.140000000000015</v>
      </c>
    </row>
    <row r="22" spans="1:24">
      <c r="A22" s="15">
        <v>17</v>
      </c>
      <c r="B22" s="4"/>
      <c r="C22" s="32">
        <v>0</v>
      </c>
      <c r="D22" s="31">
        <v>1</v>
      </c>
      <c r="E22" s="31">
        <v>3</v>
      </c>
      <c r="F22" s="31">
        <v>10</v>
      </c>
      <c r="G22" s="7">
        <v>206.55</v>
      </c>
      <c r="H22" s="7">
        <v>220.32</v>
      </c>
      <c r="I22" s="7">
        <v>247.86</v>
      </c>
      <c r="J22" s="7">
        <v>371.79</v>
      </c>
      <c r="K22" s="40">
        <v>37</v>
      </c>
      <c r="L22" s="8">
        <v>1.2</v>
      </c>
      <c r="M22" s="8">
        <v>0.41403933560541301</v>
      </c>
      <c r="N22" s="8">
        <v>0.10690449676497001</v>
      </c>
      <c r="O22" s="32">
        <v>34</v>
      </c>
      <c r="P22" s="9">
        <v>1.4666666669999999</v>
      </c>
      <c r="Q22" s="9">
        <v>0.63994047300000001</v>
      </c>
      <c r="R22" s="9">
        <v>0.16523192</v>
      </c>
      <c r="S22" s="33">
        <v>65</v>
      </c>
      <c r="T22" s="14">
        <v>1.3333333333333299</v>
      </c>
      <c r="U22" s="8">
        <v>0.54667227359053405</v>
      </c>
      <c r="V22" s="8">
        <v>9.9808245269390403E-2</v>
      </c>
      <c r="W22" s="35">
        <v>0.1787037037037037</v>
      </c>
      <c r="X22" s="30">
        <v>13.769999999999982</v>
      </c>
    </row>
    <row r="23" spans="1:24">
      <c r="A23" s="15">
        <v>18</v>
      </c>
      <c r="B23" s="4"/>
      <c r="C23" s="32">
        <v>0</v>
      </c>
      <c r="D23" s="31">
        <v>1</v>
      </c>
      <c r="E23" s="31">
        <v>3</v>
      </c>
      <c r="F23" s="31">
        <v>11</v>
      </c>
      <c r="G23" s="7">
        <v>203.54</v>
      </c>
      <c r="H23" s="7">
        <v>217.11</v>
      </c>
      <c r="I23" s="7">
        <v>244.24</v>
      </c>
      <c r="J23" s="7">
        <v>381.63</v>
      </c>
      <c r="K23" s="40">
        <v>38</v>
      </c>
      <c r="L23" s="8">
        <v>1.13333333333333</v>
      </c>
      <c r="M23" s="8">
        <v>0.35186577527449803</v>
      </c>
      <c r="N23" s="8">
        <v>9.0851352515899597E-2</v>
      </c>
      <c r="O23" s="32">
        <v>32</v>
      </c>
      <c r="P23" s="9">
        <v>1.6</v>
      </c>
      <c r="Q23" s="9">
        <v>0.73678839799999996</v>
      </c>
      <c r="R23" s="9">
        <v>0.19023794599999999</v>
      </c>
      <c r="S23" s="33">
        <v>64</v>
      </c>
      <c r="T23" s="14">
        <v>1.36666666666667</v>
      </c>
      <c r="U23" s="8">
        <v>0.61494789985837806</v>
      </c>
      <c r="V23" s="8">
        <v>0.11227361214762099</v>
      </c>
      <c r="W23" s="35">
        <v>2.4375000000000001E-2</v>
      </c>
      <c r="X23" s="30">
        <v>13.570000000000022</v>
      </c>
    </row>
    <row r="24" spans="1:24">
      <c r="A24" s="13">
        <v>19</v>
      </c>
      <c r="B24" s="4"/>
      <c r="C24" s="36">
        <v>0</v>
      </c>
      <c r="D24" s="37">
        <v>1</v>
      </c>
      <c r="E24" s="37">
        <v>3</v>
      </c>
      <c r="F24" s="37">
        <v>12</v>
      </c>
      <c r="G24" s="12">
        <v>198.71</v>
      </c>
      <c r="H24" s="12">
        <v>211.95</v>
      </c>
      <c r="I24" s="12">
        <v>238.45</v>
      </c>
      <c r="J24" s="12">
        <v>397.41</v>
      </c>
      <c r="K24" s="34">
        <v>33</v>
      </c>
      <c r="L24" s="8">
        <v>1.4666666666666699</v>
      </c>
      <c r="M24" s="8">
        <v>0.915475416434127</v>
      </c>
      <c r="N24" s="8">
        <v>0.236374736114112</v>
      </c>
      <c r="O24" s="36">
        <v>30</v>
      </c>
      <c r="P24" s="9">
        <v>1.733333333</v>
      </c>
      <c r="Q24" s="9">
        <v>0.79880863700000004</v>
      </c>
      <c r="R24" s="9">
        <v>0.206251503</v>
      </c>
      <c r="S24" s="33">
        <v>57</v>
      </c>
      <c r="T24" s="14">
        <v>1.6</v>
      </c>
      <c r="U24" s="8">
        <v>0.85500554545489404</v>
      </c>
      <c r="V24" s="8">
        <v>0.15610194134588501</v>
      </c>
      <c r="W24" s="35">
        <v>0.16388888888888889</v>
      </c>
      <c r="X24" s="30">
        <v>13.239999999999981</v>
      </c>
    </row>
    <row r="25" spans="1:24">
      <c r="A25" s="15">
        <v>20</v>
      </c>
      <c r="B25" s="4"/>
      <c r="C25" s="32">
        <v>0</v>
      </c>
      <c r="D25" s="31">
        <v>1</v>
      </c>
      <c r="E25" s="31">
        <v>4</v>
      </c>
      <c r="F25" s="31">
        <v>5</v>
      </c>
      <c r="G25" s="7">
        <v>225.06</v>
      </c>
      <c r="H25" s="7">
        <v>240.06</v>
      </c>
      <c r="I25" s="7">
        <v>281.32</v>
      </c>
      <c r="J25" s="7">
        <v>300.08</v>
      </c>
      <c r="K25" s="40">
        <v>34</v>
      </c>
      <c r="L25" s="8">
        <v>1.4</v>
      </c>
      <c r="M25" s="8">
        <v>0.63245553203367599</v>
      </c>
      <c r="N25" s="8">
        <v>0.163299316185545</v>
      </c>
      <c r="O25" s="32">
        <v>23</v>
      </c>
      <c r="P25" s="9">
        <v>2.2000000000000002</v>
      </c>
      <c r="Q25" s="9">
        <v>0.67612340400000004</v>
      </c>
      <c r="R25" s="9">
        <v>0.17457431200000001</v>
      </c>
      <c r="S25" s="33">
        <v>51</v>
      </c>
      <c r="T25" s="14">
        <v>1.8</v>
      </c>
      <c r="U25" s="8">
        <v>0.76112439510738705</v>
      </c>
      <c r="V25" s="8">
        <v>0.13896166675593</v>
      </c>
      <c r="W25" s="35">
        <v>4.7500000000000001E-2</v>
      </c>
      <c r="X25" s="30">
        <v>15</v>
      </c>
    </row>
    <row r="26" spans="1:24">
      <c r="A26" s="13">
        <v>21</v>
      </c>
      <c r="B26" s="4"/>
      <c r="C26" s="36">
        <v>0</v>
      </c>
      <c r="D26" s="37">
        <v>1</v>
      </c>
      <c r="E26" s="37">
        <v>4</v>
      </c>
      <c r="F26" s="37">
        <v>6</v>
      </c>
      <c r="G26" s="12">
        <v>221.88</v>
      </c>
      <c r="H26" s="12">
        <v>236.67</v>
      </c>
      <c r="I26" s="12">
        <v>277.35000000000002</v>
      </c>
      <c r="J26" s="12">
        <v>310.63</v>
      </c>
      <c r="K26" s="34">
        <v>36</v>
      </c>
      <c r="L26" s="8">
        <v>1.2666666666666699</v>
      </c>
      <c r="M26" s="8">
        <v>0.457737708217064</v>
      </c>
      <c r="N26" s="8">
        <v>0.118187368057056</v>
      </c>
      <c r="O26" s="36">
        <v>29</v>
      </c>
      <c r="P26" s="9">
        <v>1.8</v>
      </c>
      <c r="Q26" s="9">
        <v>0.861891607</v>
      </c>
      <c r="R26" s="9">
        <v>0.222539456</v>
      </c>
      <c r="S26" s="33">
        <v>59</v>
      </c>
      <c r="T26" s="14">
        <v>1.5333333333333301</v>
      </c>
      <c r="U26" s="8">
        <v>0.73029674334022199</v>
      </c>
      <c r="V26" s="8">
        <v>0.133333333333333</v>
      </c>
      <c r="W26" s="35">
        <v>5.0178571428571427E-2</v>
      </c>
      <c r="X26" s="30">
        <v>14.789999999999992</v>
      </c>
    </row>
    <row r="27" spans="1:24">
      <c r="A27" s="15">
        <v>22</v>
      </c>
      <c r="B27" s="4" t="s">
        <v>69</v>
      </c>
      <c r="C27" s="32">
        <v>0</v>
      </c>
      <c r="D27" s="31">
        <v>1</v>
      </c>
      <c r="E27" s="31">
        <v>4</v>
      </c>
      <c r="F27" s="31">
        <v>7</v>
      </c>
      <c r="G27" s="7">
        <v>217.27</v>
      </c>
      <c r="H27" s="7">
        <v>231.76</v>
      </c>
      <c r="I27" s="7">
        <v>271.58999999999997</v>
      </c>
      <c r="J27" s="7">
        <v>325.91000000000003</v>
      </c>
      <c r="K27" s="40">
        <v>32</v>
      </c>
      <c r="L27" s="8">
        <v>1.5333333333333301</v>
      </c>
      <c r="M27" s="8">
        <v>0.63994047342218396</v>
      </c>
      <c r="N27" s="8">
        <v>0.16523191974188101</v>
      </c>
      <c r="O27" s="32">
        <v>27</v>
      </c>
      <c r="P27" s="9">
        <v>1.933333333</v>
      </c>
      <c r="Q27" s="9">
        <v>0.88371510200000003</v>
      </c>
      <c r="R27" s="9">
        <v>0.22817425799999999</v>
      </c>
      <c r="S27" s="33">
        <v>53</v>
      </c>
      <c r="T27" s="14">
        <v>1.7333333333333301</v>
      </c>
      <c r="U27" s="8">
        <v>0.78491525276490104</v>
      </c>
      <c r="V27" s="8">
        <v>0.143305263223069</v>
      </c>
      <c r="W27" s="35">
        <v>4.5694444444444447E-2</v>
      </c>
      <c r="X27" s="30">
        <v>14.489999999999981</v>
      </c>
    </row>
    <row r="28" spans="1:24">
      <c r="A28" s="15">
        <v>23</v>
      </c>
      <c r="B28" s="4"/>
      <c r="C28" s="32">
        <v>0</v>
      </c>
      <c r="D28" s="31">
        <v>1</v>
      </c>
      <c r="E28" s="31">
        <v>4</v>
      </c>
      <c r="F28" s="31">
        <v>8</v>
      </c>
      <c r="G28" s="7">
        <v>212.85</v>
      </c>
      <c r="H28" s="7">
        <v>227.04</v>
      </c>
      <c r="I28" s="7">
        <v>266.06</v>
      </c>
      <c r="J28" s="7">
        <v>340.56</v>
      </c>
      <c r="K28" s="40">
        <v>31</v>
      </c>
      <c r="L28" s="8">
        <v>1.6</v>
      </c>
      <c r="M28" s="8">
        <v>0.91025898983279996</v>
      </c>
      <c r="N28" s="8">
        <v>0.23502786055720101</v>
      </c>
      <c r="O28" s="32">
        <v>28</v>
      </c>
      <c r="P28" s="9">
        <v>1.8666666670000001</v>
      </c>
      <c r="Q28" s="9">
        <v>0.74322335299999998</v>
      </c>
      <c r="R28" s="9">
        <v>0.191899445</v>
      </c>
      <c r="S28" s="33">
        <v>53</v>
      </c>
      <c r="T28" s="14">
        <v>1.7333333333333301</v>
      </c>
      <c r="U28" s="8">
        <v>0.82768198679466698</v>
      </c>
      <c r="V28" s="8">
        <v>0.15111336486937699</v>
      </c>
      <c r="W28" s="35">
        <v>4.5416666666666668E-2</v>
      </c>
      <c r="X28" s="30">
        <v>14.189999999999998</v>
      </c>
    </row>
    <row r="29" spans="1:24">
      <c r="A29" s="13">
        <v>24</v>
      </c>
      <c r="B29" s="4"/>
      <c r="C29" s="36">
        <v>0</v>
      </c>
      <c r="D29" s="37">
        <v>1</v>
      </c>
      <c r="E29" s="37">
        <v>4</v>
      </c>
      <c r="F29" s="37">
        <v>9</v>
      </c>
      <c r="G29" s="12">
        <v>210</v>
      </c>
      <c r="H29" s="12">
        <v>224</v>
      </c>
      <c r="I29" s="12">
        <v>262.51</v>
      </c>
      <c r="J29" s="12">
        <v>350.01</v>
      </c>
      <c r="K29" s="34">
        <v>32</v>
      </c>
      <c r="L29" s="8">
        <v>1.5333333333333301</v>
      </c>
      <c r="M29" s="8">
        <v>0.51639777949432197</v>
      </c>
      <c r="N29" s="8">
        <v>0.133333333333333</v>
      </c>
      <c r="O29" s="36">
        <v>28</v>
      </c>
      <c r="P29" s="9">
        <v>1.8666666670000001</v>
      </c>
      <c r="Q29" s="9">
        <v>0.63994047300000001</v>
      </c>
      <c r="R29" s="9">
        <v>0.16523192</v>
      </c>
      <c r="S29" s="33">
        <v>54</v>
      </c>
      <c r="T29" s="14">
        <v>1.7</v>
      </c>
      <c r="U29" s="8">
        <v>0.59596343326843804</v>
      </c>
      <c r="V29" s="8">
        <v>0.108807538616449</v>
      </c>
      <c r="W29" s="35">
        <v>4.7500000000000001E-2</v>
      </c>
      <c r="X29" s="30">
        <v>14</v>
      </c>
    </row>
    <row r="30" spans="1:24">
      <c r="A30" s="15">
        <v>25</v>
      </c>
      <c r="B30" s="4"/>
      <c r="C30" s="32">
        <v>0</v>
      </c>
      <c r="D30" s="31">
        <v>1</v>
      </c>
      <c r="E30" s="31">
        <v>4</v>
      </c>
      <c r="F30" s="31">
        <v>10</v>
      </c>
      <c r="G30" s="7">
        <v>204.53</v>
      </c>
      <c r="H30" s="7">
        <v>218.17</v>
      </c>
      <c r="I30" s="7">
        <v>255.66</v>
      </c>
      <c r="J30" s="7">
        <v>368.16</v>
      </c>
      <c r="K30" s="40">
        <v>35</v>
      </c>
      <c r="L30" s="8">
        <v>1.3333333333333299</v>
      </c>
      <c r="M30" s="8">
        <v>0.61721339984836798</v>
      </c>
      <c r="N30" s="8">
        <v>0.15936381457791901</v>
      </c>
      <c r="O30" s="32">
        <v>27</v>
      </c>
      <c r="P30" s="9">
        <v>1.933333333</v>
      </c>
      <c r="Q30" s="9">
        <v>0.45773770800000002</v>
      </c>
      <c r="R30" s="9">
        <v>0.118187368</v>
      </c>
      <c r="S30" s="33">
        <v>56</v>
      </c>
      <c r="T30" s="14">
        <v>1.63333333333333</v>
      </c>
      <c r="U30" s="8">
        <v>0.61494789985837806</v>
      </c>
      <c r="V30" s="8">
        <v>0.11227361214762099</v>
      </c>
      <c r="W30" s="35">
        <v>4.8194444444444443E-2</v>
      </c>
      <c r="X30" s="30">
        <v>13.639999999999986</v>
      </c>
    </row>
    <row r="31" spans="1:24">
      <c r="A31" s="13">
        <v>26</v>
      </c>
      <c r="B31" s="4"/>
      <c r="C31" s="36">
        <v>0</v>
      </c>
      <c r="D31" s="37">
        <v>1</v>
      </c>
      <c r="E31" s="37">
        <v>4</v>
      </c>
      <c r="F31" s="37">
        <v>11</v>
      </c>
      <c r="G31" s="12">
        <v>201.58</v>
      </c>
      <c r="H31" s="12">
        <v>215.02</v>
      </c>
      <c r="I31" s="12">
        <v>251.97</v>
      </c>
      <c r="J31" s="12">
        <v>377.96</v>
      </c>
      <c r="K31" s="34">
        <v>37</v>
      </c>
      <c r="L31" s="8">
        <v>1.2</v>
      </c>
      <c r="M31" s="8">
        <v>0.41403933560541301</v>
      </c>
      <c r="N31" s="8">
        <v>0.10690449676497001</v>
      </c>
      <c r="O31" s="36">
        <v>28</v>
      </c>
      <c r="P31" s="9">
        <v>1.8666666670000001</v>
      </c>
      <c r="Q31" s="9">
        <v>0.63994047300000001</v>
      </c>
      <c r="R31" s="9">
        <v>0.16523192</v>
      </c>
      <c r="S31" s="33">
        <v>59</v>
      </c>
      <c r="T31" s="14">
        <v>1.5333333333333301</v>
      </c>
      <c r="U31" s="8">
        <v>0.62881022482985705</v>
      </c>
      <c r="V31" s="8">
        <v>0.114804514843069</v>
      </c>
      <c r="W31" s="35">
        <v>2.2847222222222224E-2</v>
      </c>
      <c r="X31" s="30">
        <v>13.439999999999998</v>
      </c>
    </row>
    <row r="32" spans="1:24">
      <c r="A32" s="13">
        <v>27</v>
      </c>
      <c r="B32" s="4"/>
      <c r="C32" s="36">
        <v>0</v>
      </c>
      <c r="D32" s="37">
        <v>1</v>
      </c>
      <c r="E32" s="37">
        <v>4</v>
      </c>
      <c r="F32" s="37">
        <v>12</v>
      </c>
      <c r="G32" s="12">
        <v>196.84</v>
      </c>
      <c r="H32" s="12">
        <v>209.96</v>
      </c>
      <c r="I32" s="12">
        <v>246.05</v>
      </c>
      <c r="J32" s="12">
        <v>393.68</v>
      </c>
      <c r="K32" s="34">
        <v>31</v>
      </c>
      <c r="L32" s="8">
        <v>1.6</v>
      </c>
      <c r="M32" s="8">
        <v>0.63245553203367599</v>
      </c>
      <c r="N32" s="8">
        <v>0.163299316185545</v>
      </c>
      <c r="O32" s="36">
        <v>25</v>
      </c>
      <c r="P32" s="9">
        <v>2.0666666669999998</v>
      </c>
      <c r="Q32" s="9">
        <v>0.79880863700000004</v>
      </c>
      <c r="R32" s="9">
        <v>0.206251503</v>
      </c>
      <c r="S32" s="33">
        <v>50</v>
      </c>
      <c r="T32" s="14">
        <v>1.8333333333333299</v>
      </c>
      <c r="U32" s="8">
        <v>0.74663998310284496</v>
      </c>
      <c r="V32" s="8">
        <v>0.13631718702690099</v>
      </c>
      <c r="W32" s="35">
        <v>4.1250000000000002E-2</v>
      </c>
      <c r="X32" s="30">
        <v>13.120000000000005</v>
      </c>
    </row>
    <row r="33" spans="1:24">
      <c r="A33" s="15">
        <v>28</v>
      </c>
      <c r="B33" s="4"/>
      <c r="C33" s="32">
        <v>0</v>
      </c>
      <c r="D33" s="31">
        <v>1</v>
      </c>
      <c r="E33" s="31">
        <v>5</v>
      </c>
      <c r="F33" s="31">
        <v>6</v>
      </c>
      <c r="G33" s="7">
        <v>218.03</v>
      </c>
      <c r="H33" s="7">
        <v>232.56</v>
      </c>
      <c r="I33" s="7">
        <v>290.7</v>
      </c>
      <c r="J33" s="7">
        <v>305.24</v>
      </c>
      <c r="K33" s="40">
        <v>37</v>
      </c>
      <c r="L33" s="8">
        <v>1.2</v>
      </c>
      <c r="M33" s="8">
        <v>0.41403933560541301</v>
      </c>
      <c r="N33" s="8">
        <v>0.10690449676497001</v>
      </c>
      <c r="O33" s="32">
        <v>33</v>
      </c>
      <c r="P33" s="9">
        <v>1.5333333330000001</v>
      </c>
      <c r="Q33" s="9">
        <v>0.74322335299999998</v>
      </c>
      <c r="R33" s="9">
        <v>0.191899445</v>
      </c>
      <c r="S33" s="33">
        <v>64</v>
      </c>
      <c r="T33" s="14">
        <v>1.36666666666667</v>
      </c>
      <c r="U33" s="8">
        <v>0.61494789985837806</v>
      </c>
      <c r="V33" s="8">
        <v>0.11227361214762099</v>
      </c>
      <c r="W33" s="35">
        <v>0.18571428571428572</v>
      </c>
      <c r="X33" s="30">
        <v>14.530000000000001</v>
      </c>
    </row>
    <row r="34" spans="1:24">
      <c r="A34" s="13">
        <v>29</v>
      </c>
      <c r="B34" s="4" t="s">
        <v>79</v>
      </c>
      <c r="C34" s="36">
        <v>0</v>
      </c>
      <c r="D34" s="37">
        <v>1</v>
      </c>
      <c r="E34" s="37">
        <v>5</v>
      </c>
      <c r="F34" s="37">
        <v>7</v>
      </c>
      <c r="G34" s="12">
        <v>213.58</v>
      </c>
      <c r="H34" s="12">
        <v>227.81</v>
      </c>
      <c r="I34" s="12">
        <v>284.77</v>
      </c>
      <c r="J34" s="12">
        <v>320.36</v>
      </c>
      <c r="K34" s="34">
        <v>27</v>
      </c>
      <c r="L34" s="8">
        <v>1.86666666666667</v>
      </c>
      <c r="M34" s="8">
        <v>0.83380938783279201</v>
      </c>
      <c r="N34" s="8">
        <v>0.21528865819918699</v>
      </c>
      <c r="O34" s="36">
        <v>24</v>
      </c>
      <c r="P34" s="9">
        <v>2.1333333329999999</v>
      </c>
      <c r="Q34" s="9">
        <v>0.51639777899999995</v>
      </c>
      <c r="R34" s="9">
        <v>0.133333333</v>
      </c>
      <c r="S34" s="33">
        <v>45</v>
      </c>
      <c r="T34" s="14">
        <v>2</v>
      </c>
      <c r="U34" s="8">
        <v>0.69480833377965101</v>
      </c>
      <c r="V34" s="8">
        <v>0.12685406585123099</v>
      </c>
      <c r="W34" s="35">
        <v>8.611111111111111E-2</v>
      </c>
      <c r="X34" s="30">
        <v>14.22999999999999</v>
      </c>
    </row>
    <row r="35" spans="1:24">
      <c r="A35" s="13">
        <v>30</v>
      </c>
      <c r="B35" s="4"/>
      <c r="C35" s="36">
        <v>0</v>
      </c>
      <c r="D35" s="37">
        <v>1</v>
      </c>
      <c r="E35" s="37">
        <v>5</v>
      </c>
      <c r="F35" s="37">
        <v>8</v>
      </c>
      <c r="G35" s="12">
        <v>209.3</v>
      </c>
      <c r="H35" s="12">
        <v>223.26</v>
      </c>
      <c r="I35" s="12">
        <v>279.07</v>
      </c>
      <c r="J35" s="12">
        <v>334.89</v>
      </c>
      <c r="K35" s="34">
        <v>24</v>
      </c>
      <c r="L35" s="8">
        <v>2.06666666666667</v>
      </c>
      <c r="M35" s="8">
        <v>0.59361683970466395</v>
      </c>
      <c r="N35" s="8">
        <v>0.153271208946963</v>
      </c>
      <c r="O35" s="36">
        <v>23</v>
      </c>
      <c r="P35" s="9">
        <v>2.2000000000000002</v>
      </c>
      <c r="Q35" s="9">
        <v>0.41403933599999998</v>
      </c>
      <c r="R35" s="9">
        <v>0.106904497</v>
      </c>
      <c r="S35" s="33">
        <v>41</v>
      </c>
      <c r="T35" s="14">
        <v>2.1333333333333302</v>
      </c>
      <c r="U35" s="8">
        <v>0.50741626340492496</v>
      </c>
      <c r="V35" s="8">
        <v>9.2641111170620197E-2</v>
      </c>
      <c r="W35" s="35">
        <v>0.16666666666666666</v>
      </c>
      <c r="X35" s="30">
        <v>13.95999999999998</v>
      </c>
    </row>
    <row r="36" spans="1:24">
      <c r="A36" s="15">
        <v>31</v>
      </c>
      <c r="B36" s="4"/>
      <c r="C36" s="32">
        <v>0</v>
      </c>
      <c r="D36" s="31">
        <v>1</v>
      </c>
      <c r="E36" s="31">
        <v>5</v>
      </c>
      <c r="F36" s="31">
        <v>9</v>
      </c>
      <c r="G36" s="7">
        <v>206.55</v>
      </c>
      <c r="H36" s="7">
        <v>220.32</v>
      </c>
      <c r="I36" s="7">
        <v>275.39999999999998</v>
      </c>
      <c r="J36" s="7">
        <v>344.25</v>
      </c>
      <c r="K36" s="40">
        <v>32</v>
      </c>
      <c r="L36" s="8">
        <v>1.5333333333333301</v>
      </c>
      <c r="M36" s="8">
        <v>0.51639777949432197</v>
      </c>
      <c r="N36" s="8">
        <v>0.133333333333333</v>
      </c>
      <c r="O36" s="32">
        <v>28</v>
      </c>
      <c r="P36" s="9">
        <v>1.8666666670000001</v>
      </c>
      <c r="Q36" s="9">
        <v>0.35186577499999999</v>
      </c>
      <c r="R36" s="9">
        <v>9.0851352999999996E-2</v>
      </c>
      <c r="S36" s="33">
        <v>54</v>
      </c>
      <c r="T36" s="14">
        <v>1.7</v>
      </c>
      <c r="U36" s="8">
        <v>0.46609159969939901</v>
      </c>
      <c r="V36" s="8">
        <v>8.5096294339676304E-2</v>
      </c>
      <c r="W36" s="35">
        <v>0.17</v>
      </c>
      <c r="X36" s="30">
        <v>13.769999999999982</v>
      </c>
    </row>
    <row r="37" spans="1:24">
      <c r="A37" s="15">
        <v>32</v>
      </c>
      <c r="B37" s="4"/>
      <c r="C37" s="32">
        <v>0</v>
      </c>
      <c r="D37" s="31">
        <v>1</v>
      </c>
      <c r="E37" s="31">
        <v>5</v>
      </c>
      <c r="F37" s="31">
        <v>10</v>
      </c>
      <c r="G37" s="7">
        <v>201.25</v>
      </c>
      <c r="H37" s="7">
        <v>214.67</v>
      </c>
      <c r="I37" s="7">
        <v>268.33999999999997</v>
      </c>
      <c r="J37" s="7">
        <v>362.26</v>
      </c>
      <c r="K37" s="40">
        <v>29</v>
      </c>
      <c r="L37" s="8">
        <v>1.7333333333333301</v>
      </c>
      <c r="M37" s="8">
        <v>0.457737708217064</v>
      </c>
      <c r="N37" s="8">
        <v>0.118187368057056</v>
      </c>
      <c r="O37" s="32">
        <v>21</v>
      </c>
      <c r="P37" s="9">
        <v>2.3333333330000001</v>
      </c>
      <c r="Q37" s="9">
        <v>0.48795003599999998</v>
      </c>
      <c r="R37" s="9">
        <v>0.12598815799999999</v>
      </c>
      <c r="S37" s="33">
        <v>44</v>
      </c>
      <c r="T37" s="14">
        <v>2.0333333333333301</v>
      </c>
      <c r="U37" s="8">
        <v>0.55605341676753595</v>
      </c>
      <c r="V37" s="8">
        <v>0.101520999847134</v>
      </c>
      <c r="W37" s="35">
        <v>0.17777777777777778</v>
      </c>
      <c r="X37" s="30">
        <v>13.419999999999987</v>
      </c>
    </row>
    <row r="38" spans="1:24">
      <c r="A38" s="15">
        <v>33</v>
      </c>
      <c r="B38" s="4"/>
      <c r="C38" s="32">
        <v>0</v>
      </c>
      <c r="D38" s="31">
        <v>1</v>
      </c>
      <c r="E38" s="31">
        <v>5</v>
      </c>
      <c r="F38" s="31">
        <v>11</v>
      </c>
      <c r="G38" s="7">
        <v>198.39</v>
      </c>
      <c r="H38" s="7">
        <v>211.62</v>
      </c>
      <c r="I38" s="7">
        <v>264.52</v>
      </c>
      <c r="J38" s="7">
        <v>371.99</v>
      </c>
      <c r="K38" s="40">
        <v>34</v>
      </c>
      <c r="L38" s="8">
        <v>1.4</v>
      </c>
      <c r="M38" s="8">
        <v>0.50709255283710997</v>
      </c>
      <c r="N38" s="8">
        <v>0.13093073414159501</v>
      </c>
      <c r="O38" s="32">
        <v>24</v>
      </c>
      <c r="P38" s="9">
        <v>2.1333333329999999</v>
      </c>
      <c r="Q38" s="9">
        <v>0.74322335299999998</v>
      </c>
      <c r="R38" s="9">
        <v>0.191899445</v>
      </c>
      <c r="S38" s="33">
        <v>52</v>
      </c>
      <c r="T38" s="14">
        <v>1.7666666666666699</v>
      </c>
      <c r="U38" s="8">
        <v>0.72793204179460602</v>
      </c>
      <c r="V38" s="8">
        <v>0.13290159987389999</v>
      </c>
      <c r="W38" s="35">
        <v>2.2638888888888889E-2</v>
      </c>
      <c r="X38" s="30">
        <v>13.230000000000018</v>
      </c>
    </row>
    <row r="39" spans="1:24">
      <c r="A39" s="15">
        <v>34</v>
      </c>
      <c r="B39" s="4" t="s">
        <v>45</v>
      </c>
      <c r="C39" s="32">
        <v>0</v>
      </c>
      <c r="D39" s="31">
        <v>1</v>
      </c>
      <c r="E39" s="31">
        <v>5</v>
      </c>
      <c r="F39" s="31">
        <v>12</v>
      </c>
      <c r="G39" s="7">
        <v>193.8</v>
      </c>
      <c r="H39" s="7">
        <v>206.72</v>
      </c>
      <c r="I39" s="7">
        <v>258.39999999999998</v>
      </c>
      <c r="J39" s="7">
        <v>387.6</v>
      </c>
      <c r="K39" s="40">
        <v>25</v>
      </c>
      <c r="L39" s="8">
        <v>2</v>
      </c>
      <c r="M39" s="8">
        <v>0.75592894601845395</v>
      </c>
      <c r="N39" s="8">
        <v>0.19518001458970699</v>
      </c>
      <c r="O39" s="32">
        <v>17</v>
      </c>
      <c r="P39" s="9">
        <v>2.6</v>
      </c>
      <c r="Q39" s="9">
        <v>0.91025898999999999</v>
      </c>
      <c r="R39" s="9">
        <v>0.235027861</v>
      </c>
      <c r="S39" s="33">
        <v>36</v>
      </c>
      <c r="T39" s="14">
        <v>2.2999999999999998</v>
      </c>
      <c r="U39" s="8">
        <v>0.87690678936896105</v>
      </c>
      <c r="V39" s="8">
        <v>0.16010054312227001</v>
      </c>
      <c r="W39" s="35">
        <v>0.15</v>
      </c>
      <c r="X39" s="30">
        <v>12.919999999999987</v>
      </c>
    </row>
    <row r="40" spans="1:24">
      <c r="A40" s="13">
        <v>35</v>
      </c>
      <c r="B40" s="4"/>
      <c r="C40" s="36">
        <v>0</v>
      </c>
      <c r="D40" s="37">
        <v>1</v>
      </c>
      <c r="E40" s="37">
        <v>6</v>
      </c>
      <c r="F40" s="37">
        <v>7</v>
      </c>
      <c r="G40" s="12">
        <v>210.71</v>
      </c>
      <c r="H40" s="12">
        <v>224.76</v>
      </c>
      <c r="I40" s="12">
        <v>294.99</v>
      </c>
      <c r="J40" s="12">
        <v>316.06</v>
      </c>
      <c r="K40" s="34">
        <v>38</v>
      </c>
      <c r="L40" s="8">
        <v>1.13333333333333</v>
      </c>
      <c r="M40" s="8">
        <v>0.35186577527449803</v>
      </c>
      <c r="N40" s="8">
        <v>9.0851352515899597E-2</v>
      </c>
      <c r="O40" s="36">
        <v>31</v>
      </c>
      <c r="P40" s="9">
        <v>1.6666666670000001</v>
      </c>
      <c r="Q40" s="9">
        <v>0.61721340000000002</v>
      </c>
      <c r="R40" s="9">
        <v>0.15936381499999999</v>
      </c>
      <c r="S40" s="33">
        <v>63</v>
      </c>
      <c r="T40" s="14">
        <v>1.4</v>
      </c>
      <c r="U40" s="8">
        <v>0.56324184797504595</v>
      </c>
      <c r="V40" s="8">
        <v>0.10283342182227601</v>
      </c>
      <c r="W40" s="35">
        <v>9.1468253968253962E-2</v>
      </c>
      <c r="X40" s="30">
        <v>14.049999999999983</v>
      </c>
    </row>
    <row r="41" spans="1:24">
      <c r="A41" s="15">
        <v>36</v>
      </c>
      <c r="B41" s="4"/>
      <c r="C41" s="32">
        <v>0</v>
      </c>
      <c r="D41" s="31">
        <v>1</v>
      </c>
      <c r="E41" s="31">
        <v>6</v>
      </c>
      <c r="F41" s="31">
        <v>8</v>
      </c>
      <c r="G41" s="7">
        <v>206.55</v>
      </c>
      <c r="H41" s="7">
        <v>220.32</v>
      </c>
      <c r="I41" s="7">
        <v>289.17</v>
      </c>
      <c r="J41" s="7">
        <v>330.48</v>
      </c>
      <c r="K41" s="40">
        <v>35</v>
      </c>
      <c r="L41" s="8">
        <v>1.3333333333333299</v>
      </c>
      <c r="M41" s="8">
        <v>0.61721339984836798</v>
      </c>
      <c r="N41" s="8">
        <v>0.15936381457791901</v>
      </c>
      <c r="O41" s="32">
        <v>25</v>
      </c>
      <c r="P41" s="9">
        <v>2.0666666669999998</v>
      </c>
      <c r="Q41" s="9">
        <v>0.70373155099999996</v>
      </c>
      <c r="R41" s="9">
        <v>0.18170270499999999</v>
      </c>
      <c r="S41" s="33">
        <v>54</v>
      </c>
      <c r="T41" s="14">
        <v>1.7</v>
      </c>
      <c r="U41" s="8">
        <v>0.74971258860795498</v>
      </c>
      <c r="V41" s="8">
        <v>0.136878165475389</v>
      </c>
      <c r="W41" s="35">
        <v>0.17499999999999999</v>
      </c>
      <c r="X41" s="30">
        <v>13.769999999999982</v>
      </c>
    </row>
    <row r="42" spans="1:24">
      <c r="A42" s="13">
        <v>37</v>
      </c>
      <c r="B42" s="4"/>
      <c r="C42" s="36">
        <v>0</v>
      </c>
      <c r="D42" s="37">
        <v>1</v>
      </c>
      <c r="E42" s="37">
        <v>6</v>
      </c>
      <c r="F42" s="37">
        <v>9</v>
      </c>
      <c r="G42" s="12">
        <v>203.87</v>
      </c>
      <c r="H42" s="12">
        <v>217.46</v>
      </c>
      <c r="I42" s="12">
        <v>285.41000000000003</v>
      </c>
      <c r="J42" s="12">
        <v>339.78</v>
      </c>
      <c r="K42" s="34">
        <v>35</v>
      </c>
      <c r="L42" s="8">
        <v>1.3333333333333299</v>
      </c>
      <c r="M42" s="8">
        <v>0.48795003647426699</v>
      </c>
      <c r="N42" s="8">
        <v>0.125988157669742</v>
      </c>
      <c r="O42" s="36">
        <v>33</v>
      </c>
      <c r="P42" s="9">
        <v>1.5333333330000001</v>
      </c>
      <c r="Q42" s="9">
        <v>0.51639777899999995</v>
      </c>
      <c r="R42" s="9">
        <v>0.133333333</v>
      </c>
      <c r="S42" s="33">
        <v>62</v>
      </c>
      <c r="T42" s="14">
        <v>1.43333333333333</v>
      </c>
      <c r="U42" s="8">
        <v>0.504006932993731</v>
      </c>
      <c r="V42" s="8">
        <v>9.2018655446553702E-2</v>
      </c>
      <c r="W42" s="35">
        <v>0.18571428571428572</v>
      </c>
      <c r="X42" s="30">
        <v>13.590000000000003</v>
      </c>
    </row>
    <row r="43" spans="1:24">
      <c r="A43" s="15">
        <v>38</v>
      </c>
      <c r="B43" s="4"/>
      <c r="C43" s="32">
        <v>0</v>
      </c>
      <c r="D43" s="31">
        <v>1</v>
      </c>
      <c r="E43" s="31">
        <v>6</v>
      </c>
      <c r="F43" s="31">
        <v>10</v>
      </c>
      <c r="G43" s="7">
        <v>198.71</v>
      </c>
      <c r="H43" s="7">
        <v>211.95</v>
      </c>
      <c r="I43" s="7">
        <v>278.19</v>
      </c>
      <c r="J43" s="7">
        <v>357.67</v>
      </c>
      <c r="K43" s="40">
        <v>27</v>
      </c>
      <c r="L43" s="8">
        <v>1.86666666666667</v>
      </c>
      <c r="M43" s="8">
        <v>0.63994047342218396</v>
      </c>
      <c r="N43" s="8">
        <v>0.16523191974188101</v>
      </c>
      <c r="O43" s="32">
        <v>28</v>
      </c>
      <c r="P43" s="9">
        <v>1.8666666670000001</v>
      </c>
      <c r="Q43" s="9">
        <v>0.51639777899999995</v>
      </c>
      <c r="R43" s="9">
        <v>0.133333333</v>
      </c>
      <c r="S43" s="33">
        <v>49</v>
      </c>
      <c r="T43" s="14">
        <v>1.86666666666667</v>
      </c>
      <c r="U43" s="8">
        <v>0.57134646372336595</v>
      </c>
      <c r="V43" s="8">
        <v>0.104313115444032</v>
      </c>
      <c r="W43" s="35">
        <v>0.18452380952380953</v>
      </c>
      <c r="X43" s="30">
        <v>13.239999999999981</v>
      </c>
    </row>
    <row r="44" spans="1:24">
      <c r="A44" s="15">
        <v>39</v>
      </c>
      <c r="B44" s="4"/>
      <c r="C44" s="32">
        <v>0</v>
      </c>
      <c r="D44" s="31">
        <v>1</v>
      </c>
      <c r="E44" s="31">
        <v>6</v>
      </c>
      <c r="F44" s="31">
        <v>11</v>
      </c>
      <c r="G44" s="7">
        <v>195.92</v>
      </c>
      <c r="H44" s="7">
        <v>208.98</v>
      </c>
      <c r="I44" s="7">
        <v>274.27999999999997</v>
      </c>
      <c r="J44" s="7">
        <v>367.34</v>
      </c>
      <c r="K44" s="40">
        <v>35</v>
      </c>
      <c r="L44" s="8">
        <v>1.3333333333333299</v>
      </c>
      <c r="M44" s="8">
        <v>0.48795003647426699</v>
      </c>
      <c r="N44" s="8">
        <v>0.125988157669742</v>
      </c>
      <c r="O44" s="32">
        <v>24</v>
      </c>
      <c r="P44" s="9">
        <v>2.1333333329999999</v>
      </c>
      <c r="Q44" s="9">
        <v>0.63994047300000001</v>
      </c>
      <c r="R44" s="9">
        <v>0.16523192</v>
      </c>
      <c r="S44" s="33">
        <v>53</v>
      </c>
      <c r="T44" s="14">
        <v>1.7333333333333301</v>
      </c>
      <c r="U44" s="8">
        <v>0.691491807283521</v>
      </c>
      <c r="V44" s="8">
        <v>0.12624855372640001</v>
      </c>
      <c r="W44" s="35">
        <v>2.3978174603174602E-2</v>
      </c>
      <c r="X44" s="30">
        <v>13.060000000000002</v>
      </c>
    </row>
    <row r="45" spans="1:24">
      <c r="A45" s="15">
        <v>40</v>
      </c>
      <c r="B45" s="4"/>
      <c r="C45" s="32">
        <v>0</v>
      </c>
      <c r="D45" s="31">
        <v>1</v>
      </c>
      <c r="E45" s="31">
        <v>6</v>
      </c>
      <c r="F45" s="31">
        <v>12</v>
      </c>
      <c r="G45" s="7">
        <v>191.44</v>
      </c>
      <c r="H45" s="7">
        <v>204.2</v>
      </c>
      <c r="I45" s="7">
        <v>268.01</v>
      </c>
      <c r="J45" s="7">
        <v>382.87</v>
      </c>
      <c r="K45" s="40">
        <v>33</v>
      </c>
      <c r="L45" s="8">
        <v>1.4666666666666699</v>
      </c>
      <c r="M45" s="8">
        <v>0.74322335295720698</v>
      </c>
      <c r="N45" s="8">
        <v>0.19189944456771299</v>
      </c>
      <c r="O45" s="32">
        <v>27</v>
      </c>
      <c r="P45" s="9">
        <v>1.933333333</v>
      </c>
      <c r="Q45" s="9">
        <v>0.70373155099999996</v>
      </c>
      <c r="R45" s="9">
        <v>0.18170270499999999</v>
      </c>
      <c r="S45" s="33">
        <v>54</v>
      </c>
      <c r="T45" s="14">
        <v>1.7</v>
      </c>
      <c r="U45" s="8">
        <v>0.74971258860795498</v>
      </c>
      <c r="V45" s="8">
        <v>0.136878165475389</v>
      </c>
      <c r="W45" s="35">
        <v>0.16071428571428573</v>
      </c>
      <c r="X45" s="30">
        <v>12.759999999999991</v>
      </c>
    </row>
    <row r="46" spans="1:24">
      <c r="A46" s="15">
        <v>41</v>
      </c>
      <c r="B46" s="4"/>
      <c r="C46" s="32">
        <v>0</v>
      </c>
      <c r="D46" s="31">
        <v>1</v>
      </c>
      <c r="E46" s="31">
        <v>7</v>
      </c>
      <c r="F46" s="31">
        <v>8</v>
      </c>
      <c r="G46" s="7">
        <v>202.55</v>
      </c>
      <c r="H46" s="7">
        <v>216.06</v>
      </c>
      <c r="I46" s="7">
        <v>303.83</v>
      </c>
      <c r="J46" s="7">
        <v>324.08</v>
      </c>
      <c r="K46" s="40">
        <v>34</v>
      </c>
      <c r="L46" s="8">
        <v>1.4</v>
      </c>
      <c r="M46" s="8">
        <v>0.50709255283710997</v>
      </c>
      <c r="N46" s="8">
        <v>0.13093073414159501</v>
      </c>
      <c r="O46" s="32">
        <v>32</v>
      </c>
      <c r="P46" s="9">
        <v>1.6</v>
      </c>
      <c r="Q46" s="9">
        <v>0.507092553</v>
      </c>
      <c r="R46" s="9">
        <v>0.13093073399999999</v>
      </c>
      <c r="S46" s="33">
        <v>60</v>
      </c>
      <c r="T46" s="14">
        <v>1.5</v>
      </c>
      <c r="U46" s="8">
        <v>0.50854762771560802</v>
      </c>
      <c r="V46" s="8">
        <v>9.2847669088525903E-2</v>
      </c>
      <c r="W46" s="35">
        <v>8.1944444444444445E-2</v>
      </c>
      <c r="X46" s="30">
        <v>13.509999999999991</v>
      </c>
    </row>
    <row r="47" spans="1:24">
      <c r="A47" s="15">
        <v>42</v>
      </c>
      <c r="B47" s="4"/>
      <c r="C47" s="32">
        <v>0</v>
      </c>
      <c r="D47" s="31">
        <v>1</v>
      </c>
      <c r="E47" s="31">
        <v>7</v>
      </c>
      <c r="F47" s="31">
        <v>9</v>
      </c>
      <c r="G47" s="7">
        <v>199.97</v>
      </c>
      <c r="H47" s="7">
        <v>213.3</v>
      </c>
      <c r="I47" s="7">
        <v>299.95999999999998</v>
      </c>
      <c r="J47" s="7">
        <v>333.29</v>
      </c>
      <c r="K47" s="40">
        <v>36</v>
      </c>
      <c r="L47" s="8">
        <v>1.2666666666666699</v>
      </c>
      <c r="M47" s="8">
        <v>0.457737708217064</v>
      </c>
      <c r="N47" s="8">
        <v>0.118187368057056</v>
      </c>
      <c r="O47" s="32">
        <v>35</v>
      </c>
      <c r="P47" s="9">
        <v>1.4</v>
      </c>
      <c r="Q47" s="9">
        <v>0.507092553</v>
      </c>
      <c r="R47" s="9">
        <v>0.13093073399999999</v>
      </c>
      <c r="S47" s="33">
        <v>65</v>
      </c>
      <c r="T47" s="14">
        <v>1.3333333333333299</v>
      </c>
      <c r="U47" s="8">
        <v>0.47946330148538402</v>
      </c>
      <c r="V47" s="8">
        <v>8.7537621906481705E-2</v>
      </c>
      <c r="W47" s="35">
        <v>8.611111111111111E-2</v>
      </c>
      <c r="X47" s="30">
        <v>13.330000000000013</v>
      </c>
    </row>
    <row r="48" spans="1:24">
      <c r="A48" s="13">
        <v>43</v>
      </c>
      <c r="B48" s="4"/>
      <c r="C48" s="36">
        <v>0</v>
      </c>
      <c r="D48" s="37">
        <v>1</v>
      </c>
      <c r="E48" s="37">
        <v>7</v>
      </c>
      <c r="F48" s="37">
        <v>10</v>
      </c>
      <c r="G48" s="12">
        <v>195</v>
      </c>
      <c r="H48" s="12">
        <v>208</v>
      </c>
      <c r="I48" s="12">
        <v>292.51</v>
      </c>
      <c r="J48" s="12">
        <v>351.01</v>
      </c>
      <c r="K48" s="34">
        <v>29</v>
      </c>
      <c r="L48" s="8">
        <v>1.7333333333333301</v>
      </c>
      <c r="M48" s="8">
        <v>0.70373155054899705</v>
      </c>
      <c r="N48" s="8">
        <v>0.181702705031799</v>
      </c>
      <c r="O48" s="36">
        <v>25</v>
      </c>
      <c r="P48" s="9">
        <v>2.0666666669999998</v>
      </c>
      <c r="Q48" s="9">
        <v>0.79880863700000004</v>
      </c>
      <c r="R48" s="9">
        <v>0.206251503</v>
      </c>
      <c r="S48" s="33">
        <v>48</v>
      </c>
      <c r="T48" s="14">
        <v>1.9</v>
      </c>
      <c r="U48" s="8">
        <v>0.75885576295203605</v>
      </c>
      <c r="V48" s="8">
        <v>0.138547473087208</v>
      </c>
      <c r="W48" s="35">
        <v>8.7499999999999994E-2</v>
      </c>
      <c r="X48" s="30">
        <v>13</v>
      </c>
    </row>
    <row r="49" spans="1:24">
      <c r="A49" s="15">
        <v>44</v>
      </c>
      <c r="B49" s="4"/>
      <c r="C49" s="32">
        <v>0</v>
      </c>
      <c r="D49" s="31">
        <v>1</v>
      </c>
      <c r="E49" s="31">
        <v>7</v>
      </c>
      <c r="F49" s="31">
        <v>11</v>
      </c>
      <c r="G49" s="7">
        <v>192.32</v>
      </c>
      <c r="H49" s="7">
        <v>205.14</v>
      </c>
      <c r="I49" s="7">
        <v>288.47000000000003</v>
      </c>
      <c r="J49" s="7">
        <v>360.59</v>
      </c>
      <c r="K49" s="40">
        <v>33</v>
      </c>
      <c r="L49" s="8">
        <v>1.4666666666666699</v>
      </c>
      <c r="M49" s="8">
        <v>0.51639777949432197</v>
      </c>
      <c r="N49" s="8">
        <v>0.133333333333333</v>
      </c>
      <c r="O49" s="32">
        <v>29</v>
      </c>
      <c r="P49" s="9">
        <v>1.8</v>
      </c>
      <c r="Q49" s="9">
        <v>0.41403933599999998</v>
      </c>
      <c r="R49" s="9">
        <v>0.106904497</v>
      </c>
      <c r="S49" s="33">
        <v>56</v>
      </c>
      <c r="T49" s="14">
        <v>1.63333333333333</v>
      </c>
      <c r="U49" s="8">
        <v>0.49013251785356099</v>
      </c>
      <c r="V49" s="8">
        <v>8.9485545398399605E-2</v>
      </c>
      <c r="W49" s="35">
        <v>2.1736111111111112E-2</v>
      </c>
      <c r="X49" s="30">
        <v>12.819999999999993</v>
      </c>
    </row>
    <row r="50" spans="1:24">
      <c r="A50" s="13">
        <v>45</v>
      </c>
      <c r="B50" s="4" t="s">
        <v>45</v>
      </c>
      <c r="C50" s="36">
        <v>0</v>
      </c>
      <c r="D50" s="37">
        <v>1</v>
      </c>
      <c r="E50" s="37">
        <v>7</v>
      </c>
      <c r="F50" s="37">
        <v>12</v>
      </c>
      <c r="G50" s="12">
        <v>188</v>
      </c>
      <c r="H50" s="12">
        <v>200.53</v>
      </c>
      <c r="I50" s="12">
        <v>282</v>
      </c>
      <c r="J50" s="12">
        <v>376</v>
      </c>
      <c r="K50" s="34">
        <v>34</v>
      </c>
      <c r="L50" s="8">
        <v>1.4</v>
      </c>
      <c r="M50" s="8">
        <v>0.63245553203367599</v>
      </c>
      <c r="N50" s="8">
        <v>0.163299316185545</v>
      </c>
      <c r="O50" s="36">
        <v>24</v>
      </c>
      <c r="P50" s="9">
        <v>2.1333333329999999</v>
      </c>
      <c r="Q50" s="9">
        <v>0.74322335299999998</v>
      </c>
      <c r="R50" s="9">
        <v>0.191899445</v>
      </c>
      <c r="S50" s="33">
        <v>52</v>
      </c>
      <c r="T50" s="14">
        <v>1.7666666666666699</v>
      </c>
      <c r="U50" s="8">
        <v>0.77385436272766694</v>
      </c>
      <c r="V50" s="8">
        <v>0.14128583022990901</v>
      </c>
      <c r="W50" s="35">
        <v>7.3611111111111113E-2</v>
      </c>
      <c r="X50" s="30">
        <v>12.530000000000001</v>
      </c>
    </row>
    <row r="51" spans="1:24">
      <c r="A51" s="15">
        <v>46</v>
      </c>
      <c r="B51" s="4"/>
      <c r="C51" s="32">
        <v>0</v>
      </c>
      <c r="D51" s="31">
        <v>1</v>
      </c>
      <c r="E51" s="31">
        <v>8</v>
      </c>
      <c r="F51" s="31">
        <v>9</v>
      </c>
      <c r="G51" s="7">
        <v>196.22</v>
      </c>
      <c r="H51" s="7">
        <v>209.3</v>
      </c>
      <c r="I51" s="7">
        <v>313.95999999999998</v>
      </c>
      <c r="J51" s="7">
        <v>327.04000000000002</v>
      </c>
      <c r="K51" s="40">
        <v>38</v>
      </c>
      <c r="L51" s="8">
        <v>1.13333333333333</v>
      </c>
      <c r="M51" s="8">
        <v>0.35186577527449803</v>
      </c>
      <c r="N51" s="8">
        <v>9.0851352515899597E-2</v>
      </c>
      <c r="O51" s="32">
        <v>31</v>
      </c>
      <c r="P51" s="9">
        <v>1.6666666670000001</v>
      </c>
      <c r="Q51" s="9">
        <v>0.61721340000000002</v>
      </c>
      <c r="R51" s="9">
        <v>0.15936381499999999</v>
      </c>
      <c r="S51" s="33">
        <v>63</v>
      </c>
      <c r="T51" s="14">
        <v>1.4</v>
      </c>
      <c r="U51" s="8">
        <v>0.56324184797504595</v>
      </c>
      <c r="V51" s="8">
        <v>0.10283342182227601</v>
      </c>
      <c r="W51" s="35">
        <v>0.16666666666666666</v>
      </c>
      <c r="X51" s="30">
        <v>13.080000000000013</v>
      </c>
    </row>
    <row r="52" spans="1:24">
      <c r="A52" s="15">
        <v>47</v>
      </c>
      <c r="B52" s="4"/>
      <c r="C52" s="32">
        <v>0</v>
      </c>
      <c r="D52" s="31">
        <v>1</v>
      </c>
      <c r="E52" s="31">
        <v>8</v>
      </c>
      <c r="F52" s="31">
        <v>10</v>
      </c>
      <c r="G52" s="7">
        <v>191.44</v>
      </c>
      <c r="H52" s="7">
        <v>204.2</v>
      </c>
      <c r="I52" s="7">
        <v>306.3</v>
      </c>
      <c r="J52" s="7">
        <v>344.59</v>
      </c>
      <c r="K52" s="40">
        <v>28</v>
      </c>
      <c r="L52" s="8">
        <v>1.8</v>
      </c>
      <c r="M52" s="8">
        <v>0.56061191058138804</v>
      </c>
      <c r="N52" s="8">
        <v>0.144749372891149</v>
      </c>
      <c r="O52" s="32">
        <v>24</v>
      </c>
      <c r="P52" s="9">
        <v>2.1333333329999999</v>
      </c>
      <c r="Q52" s="9">
        <v>0.83380938800000004</v>
      </c>
      <c r="R52" s="9">
        <v>0.21528865799999999</v>
      </c>
      <c r="S52" s="33">
        <v>46</v>
      </c>
      <c r="T52" s="14">
        <v>1.9666666666666699</v>
      </c>
      <c r="U52" s="8">
        <v>0.71839540228413801</v>
      </c>
      <c r="V52" s="8">
        <v>0.13116045567967399</v>
      </c>
      <c r="W52" s="35">
        <v>0.1675925925925926</v>
      </c>
      <c r="X52" s="30">
        <v>12.759999999999991</v>
      </c>
    </row>
    <row r="53" spans="1:24">
      <c r="A53" s="15">
        <v>48</v>
      </c>
      <c r="B53" s="4"/>
      <c r="C53" s="32">
        <v>0</v>
      </c>
      <c r="D53" s="31">
        <v>1</v>
      </c>
      <c r="E53" s="31">
        <v>8</v>
      </c>
      <c r="F53" s="31">
        <v>11</v>
      </c>
      <c r="G53" s="7">
        <v>188.85</v>
      </c>
      <c r="H53" s="7">
        <v>201.44</v>
      </c>
      <c r="I53" s="7">
        <v>302.14999999999998</v>
      </c>
      <c r="J53" s="7">
        <v>354.09</v>
      </c>
      <c r="K53" s="40">
        <v>36</v>
      </c>
      <c r="L53" s="8">
        <v>1.2666666666666699</v>
      </c>
      <c r="M53" s="8">
        <v>0.457737708217064</v>
      </c>
      <c r="N53" s="8">
        <v>0.118187368057056</v>
      </c>
      <c r="O53" s="32">
        <v>27</v>
      </c>
      <c r="P53" s="9">
        <v>1.933333333</v>
      </c>
      <c r="Q53" s="9">
        <v>0.45773770800000002</v>
      </c>
      <c r="R53" s="9">
        <v>0.118187368</v>
      </c>
      <c r="S53" s="33">
        <v>57</v>
      </c>
      <c r="T53" s="14">
        <v>1.6</v>
      </c>
      <c r="U53" s="8">
        <v>0.56324184797504595</v>
      </c>
      <c r="V53" s="8">
        <v>0.10283342182227601</v>
      </c>
      <c r="W53" s="35">
        <v>2.1597222222222223E-2</v>
      </c>
      <c r="X53" s="30">
        <v>12.590000000000003</v>
      </c>
    </row>
    <row r="54" spans="1:24">
      <c r="A54" s="15">
        <v>49</v>
      </c>
      <c r="B54" s="4"/>
      <c r="C54" s="32">
        <v>0</v>
      </c>
      <c r="D54" s="31">
        <v>1</v>
      </c>
      <c r="E54" s="31">
        <v>8</v>
      </c>
      <c r="F54" s="31">
        <v>12</v>
      </c>
      <c r="G54" s="7">
        <v>184.68</v>
      </c>
      <c r="H54" s="7">
        <v>196.99</v>
      </c>
      <c r="I54" s="7">
        <v>295.49</v>
      </c>
      <c r="J54" s="7">
        <v>369.36</v>
      </c>
      <c r="K54" s="40">
        <v>23</v>
      </c>
      <c r="L54" s="8">
        <v>2.1333333333333302</v>
      </c>
      <c r="M54" s="8">
        <v>1.12546286774228</v>
      </c>
      <c r="N54" s="8">
        <v>0.29059326290271198</v>
      </c>
      <c r="O54" s="32">
        <v>17</v>
      </c>
      <c r="P54" s="9">
        <v>2.6</v>
      </c>
      <c r="Q54" s="9">
        <v>0.73678839799999996</v>
      </c>
      <c r="R54" s="9">
        <v>0.19023794599999999</v>
      </c>
      <c r="S54" s="33">
        <v>34</v>
      </c>
      <c r="T54" s="14">
        <v>2.3666666666666698</v>
      </c>
      <c r="U54" s="8">
        <v>0.96430547933280197</v>
      </c>
      <c r="V54" s="8">
        <v>0.176057287785469</v>
      </c>
      <c r="W54" s="35">
        <v>0.14166666666666666</v>
      </c>
      <c r="X54" s="30">
        <v>12.310000000000002</v>
      </c>
    </row>
    <row r="55" spans="1:24">
      <c r="A55" s="15">
        <v>50</v>
      </c>
      <c r="B55" s="4"/>
      <c r="C55" s="32">
        <v>0</v>
      </c>
      <c r="D55" s="31">
        <v>1</v>
      </c>
      <c r="E55" s="31">
        <v>9</v>
      </c>
      <c r="F55" s="31">
        <v>10</v>
      </c>
      <c r="G55" s="7">
        <v>189.13</v>
      </c>
      <c r="H55" s="7">
        <v>201.74</v>
      </c>
      <c r="I55" s="7">
        <v>315.22000000000003</v>
      </c>
      <c r="J55" s="7">
        <v>340.43</v>
      </c>
      <c r="K55" s="40">
        <v>37</v>
      </c>
      <c r="L55" s="8">
        <v>1.2</v>
      </c>
      <c r="M55" s="8">
        <v>0.41403933560541301</v>
      </c>
      <c r="N55" s="8">
        <v>0.10690449676497001</v>
      </c>
      <c r="O55" s="32">
        <v>37</v>
      </c>
      <c r="P55" s="9">
        <v>1.266666667</v>
      </c>
      <c r="Q55" s="9">
        <v>0.45773770800000002</v>
      </c>
      <c r="R55" s="9">
        <v>0.118187368</v>
      </c>
      <c r="S55" s="33">
        <v>68</v>
      </c>
      <c r="T55" s="14">
        <v>1.2333333333333301</v>
      </c>
      <c r="U55" s="8">
        <v>0.43018306715207599</v>
      </c>
      <c r="V55" s="8">
        <v>7.8540323245317303E-2</v>
      </c>
      <c r="W55" s="35">
        <v>0.17777777777777778</v>
      </c>
      <c r="X55" s="30">
        <v>12.610000000000014</v>
      </c>
    </row>
    <row r="56" spans="1:24">
      <c r="A56" s="15">
        <v>51</v>
      </c>
      <c r="B56" s="4"/>
      <c r="C56" s="32">
        <v>0</v>
      </c>
      <c r="D56" s="31">
        <v>1</v>
      </c>
      <c r="E56" s="31">
        <v>9</v>
      </c>
      <c r="F56" s="31">
        <v>11</v>
      </c>
      <c r="G56" s="7">
        <v>186.6</v>
      </c>
      <c r="H56" s="7">
        <v>199.04</v>
      </c>
      <c r="I56" s="7">
        <v>311</v>
      </c>
      <c r="J56" s="7">
        <v>349.88</v>
      </c>
      <c r="K56" s="40">
        <v>38</v>
      </c>
      <c r="L56" s="8">
        <v>1.13333333333333</v>
      </c>
      <c r="M56" s="8">
        <v>0.35186577527449803</v>
      </c>
      <c r="N56" s="8">
        <v>9.0851352515899597E-2</v>
      </c>
      <c r="O56" s="32">
        <v>37</v>
      </c>
      <c r="P56" s="9">
        <v>1.266666667</v>
      </c>
      <c r="Q56" s="9">
        <v>0.59361684000000003</v>
      </c>
      <c r="R56" s="9">
        <v>0.15327120899999999</v>
      </c>
      <c r="S56" s="33">
        <v>69</v>
      </c>
      <c r="T56" s="14">
        <v>1.2</v>
      </c>
      <c r="U56" s="8">
        <v>0.48423419811150198</v>
      </c>
      <c r="V56" s="8">
        <v>8.8408664473698495E-2</v>
      </c>
      <c r="W56" s="35">
        <v>2.2638888888888889E-2</v>
      </c>
      <c r="X56" s="30">
        <v>12.439999999999998</v>
      </c>
    </row>
    <row r="57" spans="1:24">
      <c r="A57" s="15">
        <v>52</v>
      </c>
      <c r="B57" s="4"/>
      <c r="C57" s="32">
        <v>0</v>
      </c>
      <c r="D57" s="31">
        <v>1</v>
      </c>
      <c r="E57" s="31">
        <v>9</v>
      </c>
      <c r="F57" s="31">
        <v>12</v>
      </c>
      <c r="G57" s="7">
        <v>182.53</v>
      </c>
      <c r="H57" s="7">
        <v>194.7</v>
      </c>
      <c r="I57" s="7">
        <v>304.22000000000003</v>
      </c>
      <c r="J57" s="7">
        <v>365.07</v>
      </c>
      <c r="K57" s="40">
        <v>35</v>
      </c>
      <c r="L57" s="8">
        <v>1.3333333333333299</v>
      </c>
      <c r="M57" s="8">
        <v>0.48795003647426699</v>
      </c>
      <c r="N57" s="8">
        <v>0.125988157669742</v>
      </c>
      <c r="O57" s="32">
        <v>25</v>
      </c>
      <c r="P57" s="9">
        <v>2.0666666669999998</v>
      </c>
      <c r="Q57" s="9">
        <v>0.70373155099999996</v>
      </c>
      <c r="R57" s="9">
        <v>0.18170270499999999</v>
      </c>
      <c r="S57" s="33">
        <v>54</v>
      </c>
      <c r="T57" s="14">
        <v>1.7</v>
      </c>
      <c r="U57" s="8">
        <v>0.70221324985780598</v>
      </c>
      <c r="V57" s="8">
        <v>0.12820601237537699</v>
      </c>
      <c r="W57" s="35">
        <v>0.15</v>
      </c>
      <c r="X57" s="30">
        <v>12.169999999999987</v>
      </c>
    </row>
    <row r="58" spans="1:24">
      <c r="A58" s="15">
        <v>53</v>
      </c>
      <c r="B58" s="4"/>
      <c r="C58" s="32">
        <v>0</v>
      </c>
      <c r="D58" s="31">
        <v>1</v>
      </c>
      <c r="E58" s="31">
        <v>10</v>
      </c>
      <c r="F58" s="31">
        <v>11</v>
      </c>
      <c r="G58" s="7">
        <v>182.27</v>
      </c>
      <c r="H58" s="7">
        <v>194.42</v>
      </c>
      <c r="I58" s="7">
        <v>328.08</v>
      </c>
      <c r="J58" s="7">
        <v>341.75</v>
      </c>
      <c r="K58" s="40">
        <v>37</v>
      </c>
      <c r="L58" s="8">
        <v>1.2</v>
      </c>
      <c r="M58" s="8">
        <v>0.41403933560541301</v>
      </c>
      <c r="N58" s="8">
        <v>0.10690449676497001</v>
      </c>
      <c r="O58" s="32">
        <v>34</v>
      </c>
      <c r="P58" s="9">
        <v>1.4666666669999999</v>
      </c>
      <c r="Q58" s="9">
        <v>0.51639777899999995</v>
      </c>
      <c r="R58" s="9">
        <v>0.133333333</v>
      </c>
      <c r="S58" s="33">
        <v>65</v>
      </c>
      <c r="T58" s="14">
        <v>1.3333333333333299</v>
      </c>
      <c r="U58" s="8">
        <v>0.47946330148538402</v>
      </c>
      <c r="V58" s="8">
        <v>8.7537621906481705E-2</v>
      </c>
      <c r="W58" s="35">
        <v>2.298611111111111E-2</v>
      </c>
      <c r="X58" s="30">
        <v>12.149999999999977</v>
      </c>
    </row>
    <row r="59" spans="1:24">
      <c r="A59" s="15">
        <v>54</v>
      </c>
      <c r="B59" s="4"/>
      <c r="C59" s="32">
        <v>0</v>
      </c>
      <c r="D59" s="31">
        <v>1</v>
      </c>
      <c r="E59" s="31">
        <v>10</v>
      </c>
      <c r="F59" s="31">
        <v>12</v>
      </c>
      <c r="G59" s="7">
        <v>178.38</v>
      </c>
      <c r="H59" s="7">
        <v>190.28</v>
      </c>
      <c r="I59" s="7">
        <v>321.08999999999997</v>
      </c>
      <c r="J59" s="7">
        <v>356.77</v>
      </c>
      <c r="K59" s="40">
        <v>31</v>
      </c>
      <c r="L59" s="8">
        <v>1.6</v>
      </c>
      <c r="M59" s="8">
        <v>0.50709255283710997</v>
      </c>
      <c r="N59" s="8">
        <v>0.13093073414159501</v>
      </c>
      <c r="O59" s="32">
        <v>26</v>
      </c>
      <c r="P59" s="9">
        <v>2</v>
      </c>
      <c r="Q59" s="9">
        <v>0.84515425499999997</v>
      </c>
      <c r="R59" s="9">
        <v>0.21821789</v>
      </c>
      <c r="S59" s="33">
        <v>51</v>
      </c>
      <c r="T59" s="14">
        <v>1.8</v>
      </c>
      <c r="U59" s="8">
        <v>0.71438422965950699</v>
      </c>
      <c r="V59" s="8">
        <v>0.130428119103488</v>
      </c>
      <c r="W59" s="35">
        <v>0.15277777777777779</v>
      </c>
      <c r="X59" s="30">
        <v>11.900000000000006</v>
      </c>
    </row>
    <row r="60" spans="1:24">
      <c r="A60" s="13">
        <v>55</v>
      </c>
      <c r="B60" s="4"/>
      <c r="C60" s="36">
        <v>0</v>
      </c>
      <c r="D60" s="37">
        <v>1</v>
      </c>
      <c r="E60" s="37">
        <v>11</v>
      </c>
      <c r="F60" s="37">
        <v>12</v>
      </c>
      <c r="G60" s="12">
        <v>176.13</v>
      </c>
      <c r="H60" s="12">
        <v>187.87</v>
      </c>
      <c r="I60" s="12">
        <v>330.25</v>
      </c>
      <c r="J60" s="12">
        <v>352.26</v>
      </c>
      <c r="K60" s="34">
        <v>37</v>
      </c>
      <c r="L60" s="8">
        <v>1.2</v>
      </c>
      <c r="M60" s="8">
        <v>0.41403933560541301</v>
      </c>
      <c r="N60" s="8">
        <v>0.10690449676497001</v>
      </c>
      <c r="O60" s="36">
        <v>32</v>
      </c>
      <c r="P60" s="9">
        <v>1.6</v>
      </c>
      <c r="Q60" s="9">
        <v>0.73678839799999996</v>
      </c>
      <c r="R60" s="9">
        <v>0.19023794599999999</v>
      </c>
      <c r="S60" s="33">
        <v>63</v>
      </c>
      <c r="T60" s="14">
        <v>1.4</v>
      </c>
      <c r="U60" s="8">
        <v>0.62145546626586601</v>
      </c>
      <c r="V60" s="8">
        <v>0.11346172578623499</v>
      </c>
      <c r="W60" s="35">
        <v>1.951388888888889E-2</v>
      </c>
      <c r="X60" s="30">
        <v>11.740000000000009</v>
      </c>
    </row>
    <row r="61" spans="1:24">
      <c r="A61" s="15">
        <v>56</v>
      </c>
      <c r="B61" s="4"/>
      <c r="C61" s="32">
        <v>0</v>
      </c>
      <c r="D61" s="31">
        <v>2</v>
      </c>
      <c r="E61" s="31">
        <v>3</v>
      </c>
      <c r="F61" s="31">
        <v>4</v>
      </c>
      <c r="G61" s="7">
        <v>228.75</v>
      </c>
      <c r="H61" s="7">
        <v>257.33999999999997</v>
      </c>
      <c r="I61" s="7">
        <v>274.5</v>
      </c>
      <c r="J61" s="7">
        <v>285.93</v>
      </c>
      <c r="K61" s="40">
        <v>33</v>
      </c>
      <c r="L61" s="8">
        <v>1.4666666666666699</v>
      </c>
      <c r="M61" s="8">
        <v>0.51639777949432197</v>
      </c>
      <c r="N61" s="8">
        <v>0.133333333333333</v>
      </c>
      <c r="O61" s="32">
        <v>28</v>
      </c>
      <c r="P61" s="9">
        <v>1.8666666670000001</v>
      </c>
      <c r="Q61" s="9">
        <v>0.83380938800000004</v>
      </c>
      <c r="R61" s="9">
        <v>0.21528865799999999</v>
      </c>
      <c r="S61" s="33">
        <v>55</v>
      </c>
      <c r="T61" s="14">
        <v>1.6666666666666701</v>
      </c>
      <c r="U61" s="8">
        <v>0.71115900221876005</v>
      </c>
      <c r="V61" s="8">
        <v>0.12983927582936</v>
      </c>
      <c r="W61" s="35">
        <v>7.4444444444444438E-2</v>
      </c>
      <c r="X61" s="30">
        <v>11.430000000000007</v>
      </c>
    </row>
    <row r="62" spans="1:24">
      <c r="A62" s="15">
        <v>57</v>
      </c>
      <c r="B62" s="4"/>
      <c r="C62" s="32">
        <v>0</v>
      </c>
      <c r="D62" s="31">
        <v>2</v>
      </c>
      <c r="E62" s="31">
        <v>3</v>
      </c>
      <c r="F62" s="31">
        <v>5</v>
      </c>
      <c r="G62" s="7">
        <v>224.66</v>
      </c>
      <c r="H62" s="7">
        <v>252.74</v>
      </c>
      <c r="I62" s="7">
        <v>269.58999999999997</v>
      </c>
      <c r="J62" s="7">
        <v>299.54000000000002</v>
      </c>
      <c r="K62" s="40">
        <v>26</v>
      </c>
      <c r="L62" s="8">
        <v>1.93333333333333</v>
      </c>
      <c r="M62" s="8">
        <v>0.88371510168853695</v>
      </c>
      <c r="N62" s="8">
        <v>0.22817425810878</v>
      </c>
      <c r="O62" s="32">
        <v>25</v>
      </c>
      <c r="P62" s="9">
        <v>2.0666666669999998</v>
      </c>
      <c r="Q62" s="9">
        <v>0.70373155099999996</v>
      </c>
      <c r="R62" s="9">
        <v>0.18170270499999999</v>
      </c>
      <c r="S62" s="33">
        <v>45</v>
      </c>
      <c r="T62" s="14">
        <v>2</v>
      </c>
      <c r="U62" s="8">
        <v>0.78783859715833504</v>
      </c>
      <c r="V62" s="8">
        <v>0.14383899044561499</v>
      </c>
      <c r="W62" s="35">
        <v>2.4537037037037038E-2</v>
      </c>
      <c r="X62" s="30">
        <v>16.849999999999966</v>
      </c>
    </row>
    <row r="63" spans="1:24">
      <c r="A63" s="15">
        <v>58</v>
      </c>
      <c r="B63" s="4"/>
      <c r="C63" s="32">
        <v>0</v>
      </c>
      <c r="D63" s="31">
        <v>2</v>
      </c>
      <c r="E63" s="31">
        <v>3</v>
      </c>
      <c r="F63" s="31">
        <v>6</v>
      </c>
      <c r="G63" s="7">
        <v>221.49</v>
      </c>
      <c r="H63" s="7">
        <v>249.17</v>
      </c>
      <c r="I63" s="7">
        <v>265.77999999999997</v>
      </c>
      <c r="J63" s="7">
        <v>310.08</v>
      </c>
      <c r="K63" s="40">
        <v>30</v>
      </c>
      <c r="L63" s="8">
        <v>1.6666666666666701</v>
      </c>
      <c r="M63" s="8">
        <v>0.61721339984836798</v>
      </c>
      <c r="N63" s="8">
        <v>0.15936381457791901</v>
      </c>
      <c r="O63" s="32">
        <v>30</v>
      </c>
      <c r="P63" s="9">
        <v>1.733333333</v>
      </c>
      <c r="Q63" s="9">
        <v>0.59361684000000003</v>
      </c>
      <c r="R63" s="9">
        <v>0.15327120899999999</v>
      </c>
      <c r="S63" s="33">
        <v>54</v>
      </c>
      <c r="T63" s="14">
        <v>1.7</v>
      </c>
      <c r="U63" s="8">
        <v>0.59596343326843804</v>
      </c>
      <c r="V63" s="8">
        <v>0.108807538616449</v>
      </c>
      <c r="W63" s="35">
        <v>7.301587301587302E-2</v>
      </c>
      <c r="X63" s="30">
        <v>16.609999999999985</v>
      </c>
    </row>
    <row r="64" spans="1:24">
      <c r="A64" s="13">
        <v>59</v>
      </c>
      <c r="B64" s="4" t="s">
        <v>41</v>
      </c>
      <c r="C64" s="36">
        <v>0</v>
      </c>
      <c r="D64" s="37">
        <v>2</v>
      </c>
      <c r="E64" s="37">
        <v>3</v>
      </c>
      <c r="F64" s="37">
        <v>7</v>
      </c>
      <c r="G64" s="12">
        <v>216.9</v>
      </c>
      <c r="H64" s="12">
        <v>244.01</v>
      </c>
      <c r="I64" s="12">
        <v>260.27</v>
      </c>
      <c r="J64" s="12">
        <v>325.33999999999997</v>
      </c>
      <c r="K64" s="34">
        <v>23</v>
      </c>
      <c r="L64" s="14">
        <v>2.1333333333333302</v>
      </c>
      <c r="M64" s="14">
        <v>0.915475416434127</v>
      </c>
      <c r="N64" s="14">
        <v>0.236374736114112</v>
      </c>
      <c r="O64" s="36">
        <v>8</v>
      </c>
      <c r="P64" s="19">
        <v>3.2</v>
      </c>
      <c r="Q64" s="19">
        <v>0.77459666900000002</v>
      </c>
      <c r="R64" s="19">
        <v>0.2</v>
      </c>
      <c r="S64" s="33">
        <v>25</v>
      </c>
      <c r="T64" s="14">
        <v>2.6666666666666701</v>
      </c>
      <c r="U64" s="8">
        <v>0.99423626323245595</v>
      </c>
      <c r="V64" s="8">
        <v>0.181521876287353</v>
      </c>
      <c r="W64" s="35">
        <v>6.6666666666666666E-2</v>
      </c>
      <c r="X64" s="30">
        <v>16.259999999999991</v>
      </c>
    </row>
    <row r="65" spans="1:24">
      <c r="A65" s="15">
        <v>60</v>
      </c>
      <c r="B65" s="4"/>
      <c r="C65" s="32">
        <v>0</v>
      </c>
      <c r="D65" s="31">
        <v>2</v>
      </c>
      <c r="E65" s="31">
        <v>3</v>
      </c>
      <c r="F65" s="31">
        <v>8</v>
      </c>
      <c r="G65" s="7">
        <v>212.49</v>
      </c>
      <c r="H65" s="7">
        <v>239.05</v>
      </c>
      <c r="I65" s="7">
        <v>254.99</v>
      </c>
      <c r="J65" s="7">
        <v>339.99</v>
      </c>
      <c r="K65" s="40">
        <v>30</v>
      </c>
      <c r="L65" s="8">
        <v>1.6666666666666701</v>
      </c>
      <c r="M65" s="8">
        <v>0.61721339984836798</v>
      </c>
      <c r="N65" s="8">
        <v>0.15936381457791901</v>
      </c>
      <c r="O65" s="32">
        <v>18</v>
      </c>
      <c r="P65" s="9">
        <v>2.5333333329999999</v>
      </c>
      <c r="Q65" s="9">
        <v>0.91547541600000004</v>
      </c>
      <c r="R65" s="9">
        <v>0.236374736</v>
      </c>
      <c r="S65" s="33">
        <v>42</v>
      </c>
      <c r="T65" s="14">
        <v>2.1</v>
      </c>
      <c r="U65" s="8">
        <v>0.88473646962790897</v>
      </c>
      <c r="V65" s="8">
        <v>0.16153004062089699</v>
      </c>
      <c r="W65" s="35">
        <v>6.9444444444444448E-2</v>
      </c>
      <c r="X65" s="30">
        <v>15.939999999999998</v>
      </c>
    </row>
    <row r="66" spans="1:24">
      <c r="A66" s="15">
        <v>61</v>
      </c>
      <c r="B66" s="4"/>
      <c r="C66" s="32">
        <v>0</v>
      </c>
      <c r="D66" s="31">
        <v>2</v>
      </c>
      <c r="E66" s="31">
        <v>3</v>
      </c>
      <c r="F66" s="31">
        <v>9</v>
      </c>
      <c r="G66" s="7">
        <v>209.65</v>
      </c>
      <c r="H66" s="7">
        <v>235.86</v>
      </c>
      <c r="I66" s="7">
        <v>251.58</v>
      </c>
      <c r="J66" s="7">
        <v>349.42</v>
      </c>
      <c r="K66" s="40">
        <v>29</v>
      </c>
      <c r="L66" s="8">
        <v>1.7333333333333301</v>
      </c>
      <c r="M66" s="8">
        <v>0.59361683970466395</v>
      </c>
      <c r="N66" s="8">
        <v>0.153271208946963</v>
      </c>
      <c r="O66" s="32">
        <v>28</v>
      </c>
      <c r="P66" s="9">
        <v>1.8666666670000001</v>
      </c>
      <c r="Q66" s="9">
        <v>0.63994047300000001</v>
      </c>
      <c r="R66" s="9">
        <v>0.16523192</v>
      </c>
      <c r="S66" s="33">
        <v>51</v>
      </c>
      <c r="T66" s="14">
        <v>1.8</v>
      </c>
      <c r="U66" s="8">
        <v>0.61025715325872898</v>
      </c>
      <c r="V66" s="8">
        <v>0.111417202906231</v>
      </c>
      <c r="W66" s="35">
        <v>2.3703703703703703E-2</v>
      </c>
      <c r="X66" s="30">
        <v>15.719999999999999</v>
      </c>
    </row>
    <row r="67" spans="1:24">
      <c r="A67" s="15">
        <v>62</v>
      </c>
      <c r="B67" s="4"/>
      <c r="C67" s="32">
        <v>0</v>
      </c>
      <c r="D67" s="31">
        <v>2</v>
      </c>
      <c r="E67" s="31">
        <v>3</v>
      </c>
      <c r="F67" s="31">
        <v>10</v>
      </c>
      <c r="G67" s="7">
        <v>204.2</v>
      </c>
      <c r="H67" s="7">
        <v>229.72</v>
      </c>
      <c r="I67" s="7">
        <v>245.04</v>
      </c>
      <c r="J67" s="7">
        <v>367.56</v>
      </c>
      <c r="K67" s="40">
        <v>32</v>
      </c>
      <c r="L67" s="8">
        <v>1.5333333333333301</v>
      </c>
      <c r="M67" s="8">
        <v>0.63994047342218396</v>
      </c>
      <c r="N67" s="8">
        <v>0.16523191974188101</v>
      </c>
      <c r="O67" s="32">
        <v>27</v>
      </c>
      <c r="P67" s="9">
        <v>1.933333333</v>
      </c>
      <c r="Q67" s="9">
        <v>0.59361684000000003</v>
      </c>
      <c r="R67" s="9">
        <v>0.15327120899999999</v>
      </c>
      <c r="S67" s="33">
        <v>53</v>
      </c>
      <c r="T67" s="14">
        <v>1.7333333333333301</v>
      </c>
      <c r="U67" s="8">
        <v>0.63968382994949202</v>
      </c>
      <c r="V67" s="8">
        <v>0.116789754444879</v>
      </c>
      <c r="W67" s="35">
        <v>6.6666666666666666E-2</v>
      </c>
      <c r="X67" s="30">
        <v>15.319999999999993</v>
      </c>
    </row>
    <row r="68" spans="1:24">
      <c r="A68" s="15">
        <v>63</v>
      </c>
      <c r="B68" s="4"/>
      <c r="C68" s="32">
        <v>0</v>
      </c>
      <c r="D68" s="31">
        <v>2</v>
      </c>
      <c r="E68" s="31">
        <v>3</v>
      </c>
      <c r="F68" s="31">
        <v>11</v>
      </c>
      <c r="G68" s="7">
        <v>201.25</v>
      </c>
      <c r="H68" s="7">
        <v>226.41</v>
      </c>
      <c r="I68" s="7">
        <v>241.5</v>
      </c>
      <c r="J68" s="7">
        <v>377.35</v>
      </c>
      <c r="K68" s="40">
        <v>32</v>
      </c>
      <c r="L68" s="8">
        <v>1.5333333333333301</v>
      </c>
      <c r="M68" s="8">
        <v>0.63994047342218396</v>
      </c>
      <c r="N68" s="8">
        <v>0.16523191974188101</v>
      </c>
      <c r="O68" s="32">
        <v>28</v>
      </c>
      <c r="P68" s="9">
        <v>1.8666666670000001</v>
      </c>
      <c r="Q68" s="9">
        <v>0.63994047300000001</v>
      </c>
      <c r="R68" s="9">
        <v>0.16523192</v>
      </c>
      <c r="S68" s="33">
        <v>54</v>
      </c>
      <c r="T68" s="14">
        <v>1.7</v>
      </c>
      <c r="U68" s="8">
        <v>0.65125872818295705</v>
      </c>
      <c r="V68" s="8">
        <v>0.11890303206597699</v>
      </c>
      <c r="W68" s="35">
        <v>6.8888888888888888E-2</v>
      </c>
      <c r="X68" s="30">
        <v>15.090000000000003</v>
      </c>
    </row>
    <row r="69" spans="1:24">
      <c r="A69" s="13">
        <v>64</v>
      </c>
      <c r="B69" s="4"/>
      <c r="C69" s="36">
        <v>0</v>
      </c>
      <c r="D69" s="37">
        <v>2</v>
      </c>
      <c r="E69" s="37">
        <v>3</v>
      </c>
      <c r="F69" s="37">
        <v>12</v>
      </c>
      <c r="G69" s="12">
        <v>196.53</v>
      </c>
      <c r="H69" s="12">
        <v>221.1</v>
      </c>
      <c r="I69" s="12">
        <v>235.84</v>
      </c>
      <c r="J69" s="12">
        <v>393.06</v>
      </c>
      <c r="K69" s="34">
        <v>33</v>
      </c>
      <c r="L69" s="8">
        <v>1.4666666666666699</v>
      </c>
      <c r="M69" s="8">
        <v>0.51639777949432197</v>
      </c>
      <c r="N69" s="8">
        <v>0.133333333333333</v>
      </c>
      <c r="O69" s="36">
        <v>27</v>
      </c>
      <c r="P69" s="9">
        <v>1.933333333</v>
      </c>
      <c r="Q69" s="9">
        <v>0.59361684000000003</v>
      </c>
      <c r="R69" s="9">
        <v>0.15327120899999999</v>
      </c>
      <c r="S69" s="33">
        <v>54</v>
      </c>
      <c r="T69" s="14">
        <v>1.7</v>
      </c>
      <c r="U69" s="8">
        <v>0.59596343326843804</v>
      </c>
      <c r="V69" s="8">
        <v>0.108807538616449</v>
      </c>
      <c r="W69" s="35">
        <v>6.1111111111111109E-2</v>
      </c>
      <c r="X69" s="30">
        <v>14.740000000000009</v>
      </c>
    </row>
    <row r="70" spans="1:24">
      <c r="A70" s="15">
        <v>65</v>
      </c>
      <c r="B70" s="4"/>
      <c r="C70" s="32">
        <v>0</v>
      </c>
      <c r="D70" s="31">
        <v>2</v>
      </c>
      <c r="E70" s="31">
        <v>4</v>
      </c>
      <c r="F70" s="31">
        <v>5</v>
      </c>
      <c r="G70" s="7">
        <v>222.27</v>
      </c>
      <c r="H70" s="7">
        <v>250.05</v>
      </c>
      <c r="I70" s="7">
        <v>277.83999999999997</v>
      </c>
      <c r="J70" s="7">
        <v>296.36</v>
      </c>
      <c r="K70" s="40">
        <v>24</v>
      </c>
      <c r="L70" s="8">
        <v>2.06666666666667</v>
      </c>
      <c r="M70" s="8">
        <v>0.70373155054899705</v>
      </c>
      <c r="N70" s="8">
        <v>0.181702705031799</v>
      </c>
      <c r="O70" s="32">
        <v>16</v>
      </c>
      <c r="P70" s="9">
        <v>2.6666666669999999</v>
      </c>
      <c r="Q70" s="9">
        <v>0.61721340000000002</v>
      </c>
      <c r="R70" s="9">
        <v>0.15936381499999999</v>
      </c>
      <c r="S70" s="33">
        <v>34</v>
      </c>
      <c r="T70" s="14">
        <v>2.3666666666666698</v>
      </c>
      <c r="U70" s="8">
        <v>0.71839540228413801</v>
      </c>
      <c r="V70" s="8">
        <v>0.13116045567967399</v>
      </c>
      <c r="W70" s="35">
        <v>0.11712962962962963</v>
      </c>
      <c r="X70" s="30">
        <v>18.520000000000039</v>
      </c>
    </row>
    <row r="71" spans="1:24">
      <c r="A71" s="15">
        <v>66</v>
      </c>
      <c r="B71" s="4"/>
      <c r="C71" s="32">
        <v>0</v>
      </c>
      <c r="D71" s="31">
        <v>2</v>
      </c>
      <c r="E71" s="31">
        <v>4</v>
      </c>
      <c r="F71" s="31">
        <v>6</v>
      </c>
      <c r="G71" s="7">
        <v>219.17</v>
      </c>
      <c r="H71" s="7">
        <v>246.56</v>
      </c>
      <c r="I71" s="7">
        <v>273.95999999999998</v>
      </c>
      <c r="J71" s="7">
        <v>306.83</v>
      </c>
      <c r="K71" s="40">
        <v>22</v>
      </c>
      <c r="L71" s="8">
        <v>2.2000000000000002</v>
      </c>
      <c r="M71" s="8">
        <v>0.56061191058138804</v>
      </c>
      <c r="N71" s="8">
        <v>0.144749372891149</v>
      </c>
      <c r="O71" s="32">
        <v>21</v>
      </c>
      <c r="P71" s="9">
        <v>2.3333333330000001</v>
      </c>
      <c r="Q71" s="9">
        <v>0.72374686399999999</v>
      </c>
      <c r="R71" s="9">
        <v>0.18687063700000001</v>
      </c>
      <c r="S71" s="33">
        <v>37</v>
      </c>
      <c r="T71" s="14">
        <v>2.2666666666666702</v>
      </c>
      <c r="U71" s="8">
        <v>0.63968382994949202</v>
      </c>
      <c r="V71" s="8">
        <v>0.116789754444879</v>
      </c>
      <c r="W71" s="35">
        <v>7.2063492063492066E-2</v>
      </c>
      <c r="X71" s="30">
        <v>27.390000000000015</v>
      </c>
    </row>
    <row r="72" spans="1:24">
      <c r="A72" s="13">
        <v>67</v>
      </c>
      <c r="B72" s="4" t="s">
        <v>76</v>
      </c>
      <c r="C72" s="36">
        <v>0</v>
      </c>
      <c r="D72" s="37">
        <v>2</v>
      </c>
      <c r="E72" s="37">
        <v>4</v>
      </c>
      <c r="F72" s="37">
        <v>7</v>
      </c>
      <c r="G72" s="12">
        <v>214.67</v>
      </c>
      <c r="H72" s="12">
        <v>241.5</v>
      </c>
      <c r="I72" s="12">
        <v>268.33999999999997</v>
      </c>
      <c r="J72" s="12">
        <v>322.01</v>
      </c>
      <c r="K72" s="34">
        <v>5</v>
      </c>
      <c r="L72" s="8">
        <v>3.4666666666666699</v>
      </c>
      <c r="M72" s="8">
        <v>0.51639777949432197</v>
      </c>
      <c r="N72" s="8">
        <v>0.133333333333333</v>
      </c>
      <c r="O72" s="36">
        <v>3</v>
      </c>
      <c r="P72" s="9">
        <v>3.6</v>
      </c>
      <c r="Q72" s="9">
        <v>0.63245553200000004</v>
      </c>
      <c r="R72" s="9">
        <v>0.163299316</v>
      </c>
      <c r="S72" s="33">
        <v>4</v>
      </c>
      <c r="T72" s="14">
        <v>3.5333333333333301</v>
      </c>
      <c r="U72" s="8">
        <v>0.57134646372336595</v>
      </c>
      <c r="V72" s="8">
        <v>0.104313115444032</v>
      </c>
      <c r="W72" s="35">
        <v>0.31111111111111112</v>
      </c>
      <c r="X72" s="30">
        <v>26.830000000000013</v>
      </c>
    </row>
    <row r="73" spans="1:24">
      <c r="A73" s="15">
        <v>68</v>
      </c>
      <c r="B73" s="4"/>
      <c r="C73" s="32">
        <v>0</v>
      </c>
      <c r="D73" s="31">
        <v>2</v>
      </c>
      <c r="E73" s="31">
        <v>4</v>
      </c>
      <c r="F73" s="31">
        <v>8</v>
      </c>
      <c r="G73" s="7">
        <v>210.36</v>
      </c>
      <c r="H73" s="7">
        <v>236.65</v>
      </c>
      <c r="I73" s="7">
        <v>262.94</v>
      </c>
      <c r="J73" s="7">
        <v>336.57</v>
      </c>
      <c r="K73" s="40">
        <v>24</v>
      </c>
      <c r="L73" s="8">
        <v>2.06666666666667</v>
      </c>
      <c r="M73" s="8">
        <v>0.59361683970466395</v>
      </c>
      <c r="N73" s="8">
        <v>0.153271208946963</v>
      </c>
      <c r="O73" s="32">
        <v>24</v>
      </c>
      <c r="P73" s="9">
        <v>2.1333333329999999</v>
      </c>
      <c r="Q73" s="9">
        <v>0.74322335299999998</v>
      </c>
      <c r="R73" s="9">
        <v>0.191899445</v>
      </c>
      <c r="S73" s="33">
        <v>42</v>
      </c>
      <c r="T73" s="14">
        <v>2.1</v>
      </c>
      <c r="U73" s="8">
        <v>0.66176357899385696</v>
      </c>
      <c r="V73" s="8">
        <v>0.120820946650096</v>
      </c>
      <c r="W73" s="35">
        <v>7.0277777777777772E-2</v>
      </c>
      <c r="X73" s="30">
        <v>26.289999999999992</v>
      </c>
    </row>
    <row r="74" spans="1:24">
      <c r="A74" s="15">
        <v>69</v>
      </c>
      <c r="B74" s="4"/>
      <c r="C74" s="32">
        <v>0</v>
      </c>
      <c r="D74" s="31">
        <v>2</v>
      </c>
      <c r="E74" s="31">
        <v>4</v>
      </c>
      <c r="F74" s="31">
        <v>9</v>
      </c>
      <c r="G74" s="7">
        <v>207.57</v>
      </c>
      <c r="H74" s="7">
        <v>233.52</v>
      </c>
      <c r="I74" s="7">
        <v>259.47000000000003</v>
      </c>
      <c r="J74" s="7">
        <v>345.96</v>
      </c>
      <c r="K74" s="40">
        <v>20</v>
      </c>
      <c r="L74" s="8">
        <v>2.3333333333333299</v>
      </c>
      <c r="M74" s="8">
        <v>0.61721339984836798</v>
      </c>
      <c r="N74" s="8">
        <v>0.15936381457791901</v>
      </c>
      <c r="O74" s="32">
        <v>21</v>
      </c>
      <c r="P74" s="9">
        <v>2.3333333330000001</v>
      </c>
      <c r="Q74" s="9">
        <v>0.72374686399999999</v>
      </c>
      <c r="R74" s="9">
        <v>0.18687063700000001</v>
      </c>
      <c r="S74" s="33">
        <v>35</v>
      </c>
      <c r="T74" s="14">
        <v>2.3333333333333299</v>
      </c>
      <c r="U74" s="8">
        <v>0.66089455225126703</v>
      </c>
      <c r="V74" s="8">
        <v>0.120662284800098</v>
      </c>
      <c r="W74" s="35">
        <v>0.11296296296296296</v>
      </c>
      <c r="X74" s="30">
        <v>25.950000000000017</v>
      </c>
    </row>
    <row r="75" spans="1:24">
      <c r="A75" s="13">
        <v>70</v>
      </c>
      <c r="B75" s="4"/>
      <c r="C75" s="36">
        <v>0</v>
      </c>
      <c r="D75" s="37">
        <v>2</v>
      </c>
      <c r="E75" s="37">
        <v>4</v>
      </c>
      <c r="F75" s="37">
        <v>10</v>
      </c>
      <c r="G75" s="12">
        <v>202.23</v>
      </c>
      <c r="H75" s="12">
        <v>227.5</v>
      </c>
      <c r="I75" s="12">
        <v>252.78</v>
      </c>
      <c r="J75" s="12">
        <v>364.01</v>
      </c>
      <c r="K75" s="34">
        <v>28</v>
      </c>
      <c r="L75" s="8">
        <v>1.8</v>
      </c>
      <c r="M75" s="8">
        <v>0.67612340378281299</v>
      </c>
      <c r="N75" s="8">
        <v>0.17457431218879399</v>
      </c>
      <c r="O75" s="36">
        <v>27</v>
      </c>
      <c r="P75" s="9">
        <v>1.933333333</v>
      </c>
      <c r="Q75" s="9">
        <v>0.59361684000000003</v>
      </c>
      <c r="R75" s="9">
        <v>0.15327120899999999</v>
      </c>
      <c r="S75" s="33">
        <v>49</v>
      </c>
      <c r="T75" s="14">
        <v>1.86666666666667</v>
      </c>
      <c r="U75" s="8">
        <v>0.62881022482985605</v>
      </c>
      <c r="V75" s="8">
        <v>0.114804514843069</v>
      </c>
      <c r="W75" s="35">
        <v>6.8888888888888888E-2</v>
      </c>
      <c r="X75" s="30">
        <v>25.27000000000001</v>
      </c>
    </row>
    <row r="76" spans="1:24">
      <c r="A76" s="15">
        <v>71</v>
      </c>
      <c r="B76" s="4"/>
      <c r="C76" s="32">
        <v>0</v>
      </c>
      <c r="D76" s="31">
        <v>2</v>
      </c>
      <c r="E76" s="31">
        <v>4</v>
      </c>
      <c r="F76" s="31">
        <v>11</v>
      </c>
      <c r="G76" s="7">
        <v>199.34</v>
      </c>
      <c r="H76" s="7">
        <v>224.25</v>
      </c>
      <c r="I76" s="7">
        <v>249.17</v>
      </c>
      <c r="J76" s="7">
        <v>373.76</v>
      </c>
      <c r="K76" s="40">
        <v>24</v>
      </c>
      <c r="L76" s="8">
        <v>2.06666666666667</v>
      </c>
      <c r="M76" s="8">
        <v>0.79880863671797997</v>
      </c>
      <c r="N76" s="8">
        <v>0.206251503121026</v>
      </c>
      <c r="O76" s="32">
        <v>21</v>
      </c>
      <c r="P76" s="9">
        <v>2.3333333330000001</v>
      </c>
      <c r="Q76" s="9">
        <v>0.816496581</v>
      </c>
      <c r="R76" s="9">
        <v>0.21081851099999999</v>
      </c>
      <c r="S76" s="33">
        <v>39</v>
      </c>
      <c r="T76" s="14">
        <v>2.2000000000000002</v>
      </c>
      <c r="U76" s="8">
        <v>0.80515579987289798</v>
      </c>
      <c r="V76" s="8">
        <v>0.14700066463216699</v>
      </c>
      <c r="W76" s="35">
        <v>0.31111111111111112</v>
      </c>
      <c r="X76" s="30">
        <v>24.909999999999997</v>
      </c>
    </row>
    <row r="77" spans="1:24">
      <c r="A77" s="15">
        <v>72</v>
      </c>
      <c r="B77" s="4"/>
      <c r="C77" s="32">
        <v>0</v>
      </c>
      <c r="D77" s="31">
        <v>2</v>
      </c>
      <c r="E77" s="31">
        <v>4</v>
      </c>
      <c r="F77" s="31">
        <v>12</v>
      </c>
      <c r="G77" s="7">
        <v>194.7</v>
      </c>
      <c r="H77" s="7">
        <v>219.04</v>
      </c>
      <c r="I77" s="7">
        <v>243.38</v>
      </c>
      <c r="J77" s="7">
        <v>389.4</v>
      </c>
      <c r="K77" s="40">
        <v>18</v>
      </c>
      <c r="L77" s="8">
        <v>2.4666666666666699</v>
      </c>
      <c r="M77" s="8">
        <v>0.83380938783279201</v>
      </c>
      <c r="N77" s="8">
        <v>0.21528865819918699</v>
      </c>
      <c r="O77" s="32">
        <v>17</v>
      </c>
      <c r="P77" s="9">
        <v>2.6</v>
      </c>
      <c r="Q77" s="9">
        <v>0.73678839799999996</v>
      </c>
      <c r="R77" s="9">
        <v>0.19023794599999999</v>
      </c>
      <c r="S77" s="33">
        <v>29</v>
      </c>
      <c r="T77" s="14">
        <v>2.5333333333333301</v>
      </c>
      <c r="U77" s="8">
        <v>0.77607915226136104</v>
      </c>
      <c r="V77" s="8">
        <v>0.141692019367678</v>
      </c>
      <c r="W77" s="35">
        <v>0.28888888888888886</v>
      </c>
      <c r="X77" s="30">
        <v>24.340000000000003</v>
      </c>
    </row>
    <row r="78" spans="1:24">
      <c r="A78" s="13">
        <v>73</v>
      </c>
      <c r="B78" s="4"/>
      <c r="C78" s="36">
        <v>0</v>
      </c>
      <c r="D78" s="37">
        <v>2</v>
      </c>
      <c r="E78" s="37">
        <v>5</v>
      </c>
      <c r="F78" s="37">
        <v>6</v>
      </c>
      <c r="G78" s="12">
        <v>215.41</v>
      </c>
      <c r="H78" s="12">
        <v>242.33</v>
      </c>
      <c r="I78" s="12">
        <v>287.20999999999998</v>
      </c>
      <c r="J78" s="12">
        <v>301.57</v>
      </c>
      <c r="K78" s="34">
        <v>32</v>
      </c>
      <c r="L78" s="8">
        <v>1.5333333333333301</v>
      </c>
      <c r="M78" s="8">
        <v>0.63994047342218396</v>
      </c>
      <c r="N78" s="8">
        <v>0.16523191974188101</v>
      </c>
      <c r="O78" s="39">
        <v>30</v>
      </c>
      <c r="P78" s="9">
        <v>1.733333333</v>
      </c>
      <c r="Q78" s="9">
        <v>0.59361684000000003</v>
      </c>
      <c r="R78" s="9">
        <v>0.15327120899999999</v>
      </c>
      <c r="S78" s="33">
        <v>56</v>
      </c>
      <c r="T78" s="14">
        <v>1.63333333333333</v>
      </c>
      <c r="U78" s="8">
        <v>0.61494789985837806</v>
      </c>
      <c r="V78" s="8">
        <v>0.11227361214762099</v>
      </c>
      <c r="W78" s="35">
        <v>2.3743386243386243E-2</v>
      </c>
      <c r="X78" s="30">
        <v>14.360000000000014</v>
      </c>
    </row>
    <row r="79" spans="1:24">
      <c r="A79" s="15">
        <v>74</v>
      </c>
      <c r="B79" s="4" t="s">
        <v>13</v>
      </c>
      <c r="C79" s="32">
        <v>0</v>
      </c>
      <c r="D79" s="31">
        <v>2</v>
      </c>
      <c r="E79" s="31">
        <v>5</v>
      </c>
      <c r="F79" s="31">
        <v>7</v>
      </c>
      <c r="G79" s="7">
        <v>211.06</v>
      </c>
      <c r="H79" s="7">
        <v>237.45</v>
      </c>
      <c r="I79" s="7">
        <v>281.42</v>
      </c>
      <c r="J79" s="7">
        <v>316.58999999999997</v>
      </c>
      <c r="K79" s="40">
        <v>15</v>
      </c>
      <c r="L79" s="8">
        <v>2.6666666666666701</v>
      </c>
      <c r="M79" s="8">
        <v>0.72374686445574599</v>
      </c>
      <c r="N79" s="8">
        <v>0.18687063686046301</v>
      </c>
      <c r="O79" s="38">
        <v>17</v>
      </c>
      <c r="P79" s="9">
        <v>2.6</v>
      </c>
      <c r="Q79" s="9">
        <v>0.63245553200000004</v>
      </c>
      <c r="R79" s="9">
        <v>0.163299316</v>
      </c>
      <c r="S79" s="33">
        <v>26</v>
      </c>
      <c r="T79" s="14">
        <v>2.6333333333333302</v>
      </c>
      <c r="U79" s="8">
        <v>0.66867513545937196</v>
      </c>
      <c r="V79" s="8">
        <v>0.12208281844464</v>
      </c>
      <c r="W79" s="35">
        <v>0.10416666666666667</v>
      </c>
      <c r="X79" s="30">
        <v>26.389999999999986</v>
      </c>
    </row>
    <row r="80" spans="1:24">
      <c r="A80" s="15">
        <v>75</v>
      </c>
      <c r="B80" s="4"/>
      <c r="C80" s="32">
        <v>0</v>
      </c>
      <c r="D80" s="31">
        <v>2</v>
      </c>
      <c r="E80" s="31">
        <v>5</v>
      </c>
      <c r="F80" s="31">
        <v>8</v>
      </c>
      <c r="G80" s="7">
        <v>206.89</v>
      </c>
      <c r="H80" s="7">
        <v>232.75</v>
      </c>
      <c r="I80" s="7">
        <v>275.85000000000002</v>
      </c>
      <c r="J80" s="7">
        <v>331.02</v>
      </c>
      <c r="K80" s="40">
        <v>18</v>
      </c>
      <c r="L80" s="8">
        <v>2.4666666666666699</v>
      </c>
      <c r="M80" s="8">
        <v>0.83380938783279201</v>
      </c>
      <c r="N80" s="8">
        <v>0.21528865819918699</v>
      </c>
      <c r="O80" s="38">
        <v>26</v>
      </c>
      <c r="P80" s="9">
        <v>2</v>
      </c>
      <c r="Q80" s="9">
        <v>0.53452248400000002</v>
      </c>
      <c r="R80" s="9">
        <v>0.13801311199999999</v>
      </c>
      <c r="S80" s="33">
        <v>38</v>
      </c>
      <c r="T80" s="14">
        <v>2.2333333333333298</v>
      </c>
      <c r="U80" s="8">
        <v>0.72793204179460602</v>
      </c>
      <c r="V80" s="8">
        <v>0.13290159987389999</v>
      </c>
      <c r="W80" s="35">
        <v>2.3148148148148147E-2</v>
      </c>
      <c r="X80" s="30">
        <v>25.860000000000014</v>
      </c>
    </row>
    <row r="81" spans="1:24">
      <c r="A81" s="15">
        <v>76</v>
      </c>
      <c r="B81" s="4"/>
      <c r="C81" s="32">
        <v>0</v>
      </c>
      <c r="D81" s="31">
        <v>2</v>
      </c>
      <c r="E81" s="31">
        <v>5</v>
      </c>
      <c r="F81" s="31">
        <v>9</v>
      </c>
      <c r="G81" s="7">
        <v>204.2</v>
      </c>
      <c r="H81" s="7">
        <v>229.72</v>
      </c>
      <c r="I81" s="7">
        <v>272.27</v>
      </c>
      <c r="J81" s="7">
        <v>340.33</v>
      </c>
      <c r="K81" s="40">
        <v>14</v>
      </c>
      <c r="L81" s="8">
        <v>2.7333333333333298</v>
      </c>
      <c r="M81" s="8">
        <v>0.70373155054899705</v>
      </c>
      <c r="N81" s="8">
        <v>0.181702705031799</v>
      </c>
      <c r="O81" s="38">
        <v>14</v>
      </c>
      <c r="P81" s="9">
        <v>2.8</v>
      </c>
      <c r="Q81" s="9">
        <v>0.861891607</v>
      </c>
      <c r="R81" s="9">
        <v>0.222539456</v>
      </c>
      <c r="S81" s="33">
        <v>23</v>
      </c>
      <c r="T81" s="14">
        <v>2.7666666666666702</v>
      </c>
      <c r="U81" s="8">
        <v>0.77385436272766694</v>
      </c>
      <c r="V81" s="8">
        <v>0.14128583022990901</v>
      </c>
      <c r="W81" s="35">
        <v>0.10740740740740741</v>
      </c>
      <c r="X81" s="30">
        <v>25.52000000000001</v>
      </c>
    </row>
    <row r="82" spans="1:24">
      <c r="A82" s="15">
        <v>77</v>
      </c>
      <c r="B82" s="4"/>
      <c r="C82" s="32">
        <v>0</v>
      </c>
      <c r="D82" s="31">
        <v>2</v>
      </c>
      <c r="E82" s="31">
        <v>5</v>
      </c>
      <c r="F82" s="31">
        <v>10</v>
      </c>
      <c r="G82" s="7">
        <v>199.02</v>
      </c>
      <c r="H82" s="7">
        <v>223.9</v>
      </c>
      <c r="I82" s="7">
        <v>265.36</v>
      </c>
      <c r="J82" s="7">
        <v>358.24</v>
      </c>
      <c r="K82" s="40">
        <v>22</v>
      </c>
      <c r="L82" s="8">
        <v>2.2000000000000002</v>
      </c>
      <c r="M82" s="8">
        <v>0.94112394811431999</v>
      </c>
      <c r="N82" s="8">
        <v>0.242997158517582</v>
      </c>
      <c r="O82" s="38">
        <v>16</v>
      </c>
      <c r="P82" s="9">
        <v>2.6666666669999999</v>
      </c>
      <c r="Q82" s="9">
        <v>0.816496581</v>
      </c>
      <c r="R82" s="9">
        <v>0.21081851099999999</v>
      </c>
      <c r="S82" s="33">
        <v>32</v>
      </c>
      <c r="T82" s="14">
        <v>2.43333333333333</v>
      </c>
      <c r="U82" s="8">
        <v>0.89763418297031305</v>
      </c>
      <c r="V82" s="8">
        <v>0.16388483013352001</v>
      </c>
      <c r="W82" s="35">
        <v>2.2685185185185187E-2</v>
      </c>
      <c r="X82" s="30">
        <v>24.879999999999995</v>
      </c>
    </row>
    <row r="83" spans="1:24">
      <c r="A83" s="15">
        <v>78</v>
      </c>
      <c r="B83" s="4"/>
      <c r="C83" s="32">
        <v>0</v>
      </c>
      <c r="D83" s="31">
        <v>2</v>
      </c>
      <c r="E83" s="31">
        <v>5</v>
      </c>
      <c r="F83" s="31">
        <v>11</v>
      </c>
      <c r="G83" s="7">
        <v>196.22</v>
      </c>
      <c r="H83" s="7">
        <v>220.75</v>
      </c>
      <c r="I83" s="7">
        <v>261.63</v>
      </c>
      <c r="J83" s="7">
        <v>367.92</v>
      </c>
      <c r="K83" s="40">
        <v>20</v>
      </c>
      <c r="L83" s="8">
        <v>2.3333333333333299</v>
      </c>
      <c r="M83" s="8">
        <v>0.81649658092772603</v>
      </c>
      <c r="N83" s="8">
        <v>0.21081851067789201</v>
      </c>
      <c r="O83" s="38">
        <v>21</v>
      </c>
      <c r="P83" s="9">
        <v>2.3333333330000001</v>
      </c>
      <c r="Q83" s="9">
        <v>0.72374686399999999</v>
      </c>
      <c r="R83" s="9">
        <v>0.18687063700000001</v>
      </c>
      <c r="S83" s="33">
        <v>35</v>
      </c>
      <c r="T83" s="14">
        <v>2.3333333333333299</v>
      </c>
      <c r="U83" s="8">
        <v>0.75809804357890298</v>
      </c>
      <c r="V83" s="8">
        <v>0.13840913308956701</v>
      </c>
      <c r="W83" s="35">
        <v>0.10787037037037037</v>
      </c>
      <c r="X83" s="30">
        <v>24.53</v>
      </c>
    </row>
    <row r="84" spans="1:24">
      <c r="A84" s="15">
        <v>79</v>
      </c>
      <c r="B84" s="4" t="s">
        <v>59</v>
      </c>
      <c r="C84" s="32">
        <v>0</v>
      </c>
      <c r="D84" s="31">
        <v>2</v>
      </c>
      <c r="E84" s="31">
        <v>5</v>
      </c>
      <c r="F84" s="31">
        <v>12</v>
      </c>
      <c r="G84" s="7">
        <v>191.73</v>
      </c>
      <c r="H84" s="7">
        <v>215.69</v>
      </c>
      <c r="I84" s="7">
        <v>255.64</v>
      </c>
      <c r="J84" s="7">
        <v>383.46</v>
      </c>
      <c r="K84" s="40">
        <v>19</v>
      </c>
      <c r="L84" s="8">
        <v>2.4</v>
      </c>
      <c r="M84" s="8">
        <v>0.73678839761300696</v>
      </c>
      <c r="N84" s="8">
        <v>0.190237946242268</v>
      </c>
      <c r="O84" s="31">
        <v>16</v>
      </c>
      <c r="P84" s="9">
        <v>2.6666666669999999</v>
      </c>
      <c r="Q84" s="9">
        <v>0.816496581</v>
      </c>
      <c r="R84" s="9">
        <v>0.21081851099999999</v>
      </c>
      <c r="S84" s="33">
        <v>29</v>
      </c>
      <c r="T84" s="14">
        <v>2.5333333333333301</v>
      </c>
      <c r="U84" s="8">
        <v>0.77607915226136104</v>
      </c>
      <c r="V84" s="8">
        <v>0.141692019367678</v>
      </c>
      <c r="W84" s="35">
        <v>9.4907407407407413E-2</v>
      </c>
      <c r="X84" s="30">
        <v>23.960000000000008</v>
      </c>
    </row>
    <row r="85" spans="1:24">
      <c r="A85" s="13">
        <v>80</v>
      </c>
      <c r="B85" s="4" t="s">
        <v>81</v>
      </c>
      <c r="C85" s="36">
        <v>0</v>
      </c>
      <c r="D85" s="37">
        <v>2</v>
      </c>
      <c r="E85" s="37">
        <v>6</v>
      </c>
      <c r="F85" s="37">
        <v>7</v>
      </c>
      <c r="G85" s="12">
        <v>208.26</v>
      </c>
      <c r="H85" s="12">
        <v>234.3</v>
      </c>
      <c r="I85" s="12">
        <v>291.57</v>
      </c>
      <c r="J85" s="12">
        <v>312.39</v>
      </c>
      <c r="K85" s="34">
        <v>21</v>
      </c>
      <c r="L85" s="8">
        <v>2.2666666666666702</v>
      </c>
      <c r="M85" s="8">
        <v>0.79880863671797997</v>
      </c>
      <c r="N85" s="8">
        <v>0.206251503121026</v>
      </c>
      <c r="O85" s="39">
        <v>20</v>
      </c>
      <c r="P85" s="9">
        <v>2.4</v>
      </c>
      <c r="Q85" s="9">
        <v>0.63245553200000004</v>
      </c>
      <c r="R85" s="9">
        <v>0.163299316</v>
      </c>
      <c r="S85" s="33">
        <v>35</v>
      </c>
      <c r="T85" s="14">
        <v>2.3333333333333299</v>
      </c>
      <c r="U85" s="8">
        <v>0.71115900221876005</v>
      </c>
      <c r="V85" s="8">
        <v>0.12983927582936</v>
      </c>
      <c r="W85" s="35">
        <v>6.4285714285714279E-2</v>
      </c>
      <c r="X85" s="30">
        <v>20.819999999999993</v>
      </c>
    </row>
    <row r="86" spans="1:24">
      <c r="A86" s="16">
        <v>81</v>
      </c>
      <c r="B86" s="4"/>
      <c r="C86" s="38">
        <v>0</v>
      </c>
      <c r="D86" s="31">
        <v>2</v>
      </c>
      <c r="E86" s="31">
        <v>6</v>
      </c>
      <c r="F86" s="31">
        <v>8</v>
      </c>
      <c r="G86" s="7">
        <v>204.2</v>
      </c>
      <c r="H86" s="7">
        <v>229.72</v>
      </c>
      <c r="I86" s="7">
        <v>285.88</v>
      </c>
      <c r="J86" s="7">
        <v>326.72000000000003</v>
      </c>
      <c r="K86" s="38">
        <v>30</v>
      </c>
      <c r="L86" s="8">
        <v>1.6666666666666701</v>
      </c>
      <c r="M86" s="8">
        <v>0.61721339984836798</v>
      </c>
      <c r="N86" s="8">
        <v>0.15936381457791901</v>
      </c>
      <c r="O86" s="38">
        <v>26</v>
      </c>
      <c r="P86" s="9">
        <v>2</v>
      </c>
      <c r="Q86" s="9">
        <v>0.84515425499999997</v>
      </c>
      <c r="R86" s="9">
        <v>0.21821789</v>
      </c>
      <c r="S86" s="33">
        <v>50</v>
      </c>
      <c r="T86" s="14">
        <v>1.8333333333333299</v>
      </c>
      <c r="U86" s="8">
        <v>0.74663998310284496</v>
      </c>
      <c r="V86" s="8">
        <v>0.13631718702690099</v>
      </c>
      <c r="W86" s="35">
        <v>6.9444444444444448E-2</v>
      </c>
      <c r="X86" s="30">
        <v>25.52000000000001</v>
      </c>
    </row>
    <row r="87" spans="1:24">
      <c r="A87" s="17">
        <v>82</v>
      </c>
      <c r="B87" s="4"/>
      <c r="C87" s="39">
        <v>0</v>
      </c>
      <c r="D87" s="37">
        <v>2</v>
      </c>
      <c r="E87" s="37">
        <v>6</v>
      </c>
      <c r="F87" s="37">
        <v>9</v>
      </c>
      <c r="G87" s="12">
        <v>201.58</v>
      </c>
      <c r="H87" s="12">
        <v>226.77</v>
      </c>
      <c r="I87" s="12">
        <v>282.20999999999998</v>
      </c>
      <c r="J87" s="12">
        <v>335.96</v>
      </c>
      <c r="K87" s="39">
        <v>9</v>
      </c>
      <c r="L87" s="8">
        <v>3.06666666666667</v>
      </c>
      <c r="M87" s="8">
        <v>0.59361683970466395</v>
      </c>
      <c r="N87" s="8">
        <v>0.153271208946963</v>
      </c>
      <c r="O87" s="39">
        <v>17</v>
      </c>
      <c r="P87" s="9">
        <v>2.6</v>
      </c>
      <c r="Q87" s="9">
        <v>0.82807867099999999</v>
      </c>
      <c r="R87" s="9">
        <v>0.213808994</v>
      </c>
      <c r="S87" s="33">
        <v>21</v>
      </c>
      <c r="T87" s="14">
        <v>2.8333333333333299</v>
      </c>
      <c r="U87" s="8">
        <v>0.74663998310284496</v>
      </c>
      <c r="V87" s="8">
        <v>0.13631718702690099</v>
      </c>
      <c r="W87" s="35">
        <v>2.2910052910052912E-2</v>
      </c>
      <c r="X87" s="30">
        <v>25.189999999999998</v>
      </c>
    </row>
    <row r="88" spans="1:24">
      <c r="A88" s="17">
        <v>83</v>
      </c>
      <c r="B88" s="4"/>
      <c r="C88" s="39">
        <v>0</v>
      </c>
      <c r="D88" s="37">
        <v>2</v>
      </c>
      <c r="E88" s="37">
        <v>6</v>
      </c>
      <c r="F88" s="37">
        <v>10</v>
      </c>
      <c r="G88" s="12">
        <v>196.53</v>
      </c>
      <c r="H88" s="12">
        <v>221.1</v>
      </c>
      <c r="I88" s="12">
        <v>275.14</v>
      </c>
      <c r="J88" s="12">
        <v>353.75</v>
      </c>
      <c r="K88" s="39">
        <v>30</v>
      </c>
      <c r="L88" s="8">
        <v>1.6666666666666701</v>
      </c>
      <c r="M88" s="8">
        <v>0.48795003647426699</v>
      </c>
      <c r="N88" s="8">
        <v>0.125988157669742</v>
      </c>
      <c r="O88" s="39">
        <v>24</v>
      </c>
      <c r="P88" s="9">
        <v>2.1333333329999999</v>
      </c>
      <c r="Q88" s="9">
        <v>0.63994047300000001</v>
      </c>
      <c r="R88" s="9">
        <v>0.16523192</v>
      </c>
      <c r="S88" s="33">
        <v>48</v>
      </c>
      <c r="T88" s="14">
        <v>1.9</v>
      </c>
      <c r="U88" s="8">
        <v>0.60742531824198698</v>
      </c>
      <c r="V88" s="8">
        <v>0.11090018293363001</v>
      </c>
      <c r="W88" s="35">
        <v>6.8253968253968247E-2</v>
      </c>
      <c r="X88" s="30">
        <v>24.569999999999993</v>
      </c>
    </row>
    <row r="89" spans="1:24">
      <c r="A89" s="17">
        <v>84</v>
      </c>
      <c r="B89" s="4"/>
      <c r="C89" s="39">
        <v>0</v>
      </c>
      <c r="D89" s="37">
        <v>2</v>
      </c>
      <c r="E89" s="37">
        <v>6</v>
      </c>
      <c r="F89" s="37">
        <v>11</v>
      </c>
      <c r="G89" s="12">
        <v>193.8</v>
      </c>
      <c r="H89" s="12">
        <v>218.03</v>
      </c>
      <c r="I89" s="12">
        <v>271.32</v>
      </c>
      <c r="J89" s="12">
        <v>363.38</v>
      </c>
      <c r="K89" s="39">
        <v>16</v>
      </c>
      <c r="L89" s="8">
        <v>2.6</v>
      </c>
      <c r="M89" s="8">
        <v>0.73678839761300696</v>
      </c>
      <c r="N89" s="8">
        <v>0.190237946242268</v>
      </c>
      <c r="O89" s="39">
        <v>21</v>
      </c>
      <c r="P89" s="9">
        <v>2.3333333330000001</v>
      </c>
      <c r="Q89" s="9">
        <v>0.48795003599999998</v>
      </c>
      <c r="R89" s="9">
        <v>0.12598815799999999</v>
      </c>
      <c r="S89" s="33">
        <v>31</v>
      </c>
      <c r="T89" s="14">
        <v>2.4666666666666699</v>
      </c>
      <c r="U89" s="8">
        <v>0.62881022482985705</v>
      </c>
      <c r="V89" s="8">
        <v>0.114804514843069</v>
      </c>
      <c r="W89" s="35">
        <v>6.6507936507936502E-2</v>
      </c>
      <c r="X89" s="30">
        <v>24.22999999999999</v>
      </c>
    </row>
    <row r="90" spans="1:24">
      <c r="A90" s="17">
        <v>85</v>
      </c>
      <c r="B90" s="4"/>
      <c r="C90" s="39">
        <v>0</v>
      </c>
      <c r="D90" s="37">
        <v>2</v>
      </c>
      <c r="E90" s="37">
        <v>6</v>
      </c>
      <c r="F90" s="37">
        <v>12</v>
      </c>
      <c r="G90" s="12">
        <v>189.42</v>
      </c>
      <c r="H90" s="12">
        <v>213.09</v>
      </c>
      <c r="I90" s="12">
        <v>265.18</v>
      </c>
      <c r="J90" s="12">
        <v>378.83</v>
      </c>
      <c r="K90" s="39">
        <v>12</v>
      </c>
      <c r="L90" s="8">
        <v>2.8666666666666698</v>
      </c>
      <c r="M90" s="8">
        <v>0.63994047342218396</v>
      </c>
      <c r="N90" s="8">
        <v>0.16523191974188101</v>
      </c>
      <c r="O90" s="39">
        <v>16</v>
      </c>
      <c r="P90" s="9">
        <v>2.6666666669999999</v>
      </c>
      <c r="Q90" s="9">
        <v>0.61721340000000002</v>
      </c>
      <c r="R90" s="9">
        <v>0.15936381499999999</v>
      </c>
      <c r="S90" s="33">
        <v>23</v>
      </c>
      <c r="T90" s="14">
        <v>2.7666666666666702</v>
      </c>
      <c r="U90" s="8">
        <v>0.62606231557929204</v>
      </c>
      <c r="V90" s="8">
        <v>0.114302817548899</v>
      </c>
      <c r="W90" s="35">
        <v>5.873015873015873E-2</v>
      </c>
      <c r="X90" s="30">
        <v>23.670000000000016</v>
      </c>
    </row>
    <row r="91" spans="1:24">
      <c r="A91" s="16">
        <v>86</v>
      </c>
      <c r="B91" s="4" t="s">
        <v>75</v>
      </c>
      <c r="C91" s="38">
        <v>0</v>
      </c>
      <c r="D91" s="31">
        <v>2</v>
      </c>
      <c r="E91" s="31">
        <v>7</v>
      </c>
      <c r="F91" s="31">
        <v>8</v>
      </c>
      <c r="G91" s="7">
        <v>200.29</v>
      </c>
      <c r="H91" s="7">
        <v>225.33</v>
      </c>
      <c r="I91" s="7">
        <v>300.44</v>
      </c>
      <c r="J91" s="7">
        <v>320.47000000000003</v>
      </c>
      <c r="K91" s="38">
        <v>33</v>
      </c>
      <c r="L91" s="8">
        <v>1.4666666666666699</v>
      </c>
      <c r="M91" s="8">
        <v>0.74322335295720698</v>
      </c>
      <c r="N91" s="8">
        <v>0.19189944456771299</v>
      </c>
      <c r="O91" s="38">
        <v>23</v>
      </c>
      <c r="P91" s="9">
        <v>2.2000000000000002</v>
      </c>
      <c r="Q91" s="9">
        <v>0.56061191099999996</v>
      </c>
      <c r="R91" s="9">
        <v>0.14474937299999999</v>
      </c>
      <c r="S91" s="33">
        <v>50</v>
      </c>
      <c r="T91" s="14">
        <v>1.8333333333333299</v>
      </c>
      <c r="U91" s="8">
        <v>0.74663998310284496</v>
      </c>
      <c r="V91" s="8">
        <v>0.13631718702690099</v>
      </c>
      <c r="W91" s="35">
        <v>6.25E-2</v>
      </c>
      <c r="X91" s="30">
        <v>20.03000000000003</v>
      </c>
    </row>
    <row r="92" spans="1:24">
      <c r="A92" s="4">
        <v>87</v>
      </c>
      <c r="B92" s="4" t="s">
        <v>82</v>
      </c>
      <c r="C92" s="39">
        <v>0</v>
      </c>
      <c r="D92" s="37">
        <v>2</v>
      </c>
      <c r="E92" s="37">
        <v>7</v>
      </c>
      <c r="F92" s="37">
        <v>9</v>
      </c>
      <c r="G92" s="12">
        <v>197.77</v>
      </c>
      <c r="H92" s="12">
        <v>222.49</v>
      </c>
      <c r="I92" s="12">
        <v>296.64999999999998</v>
      </c>
      <c r="J92" s="12">
        <v>329.61</v>
      </c>
      <c r="K92" s="37">
        <v>25</v>
      </c>
      <c r="L92" s="8">
        <v>2</v>
      </c>
      <c r="M92" s="8">
        <v>0.65465367070797698</v>
      </c>
      <c r="N92" s="8">
        <v>0.169030850945703</v>
      </c>
      <c r="O92" s="39">
        <v>14</v>
      </c>
      <c r="P92" s="9">
        <v>2.8</v>
      </c>
      <c r="Q92" s="9">
        <v>0.94112394799999999</v>
      </c>
      <c r="R92" s="9">
        <v>0.24299715899999999</v>
      </c>
      <c r="S92" s="33">
        <v>33</v>
      </c>
      <c r="T92" s="14">
        <v>2.4</v>
      </c>
      <c r="U92" s="8">
        <v>0.89442719099991597</v>
      </c>
      <c r="V92" s="8">
        <v>0.163299316185545</v>
      </c>
      <c r="W92" s="35">
        <v>0.1</v>
      </c>
      <c r="X92" s="30">
        <v>24.72</v>
      </c>
    </row>
    <row r="93" spans="1:24">
      <c r="A93" s="4">
        <v>88</v>
      </c>
      <c r="B93" s="4" t="s">
        <v>83</v>
      </c>
      <c r="C93" s="39">
        <v>0</v>
      </c>
      <c r="D93" s="37">
        <v>2</v>
      </c>
      <c r="E93" s="37">
        <v>7</v>
      </c>
      <c r="F93" s="37">
        <v>10</v>
      </c>
      <c r="G93" s="12">
        <v>192.91</v>
      </c>
      <c r="H93" s="12">
        <v>217.02</v>
      </c>
      <c r="I93" s="12">
        <v>289.36</v>
      </c>
      <c r="J93" s="12">
        <v>347.23</v>
      </c>
      <c r="K93" s="37">
        <v>24</v>
      </c>
      <c r="L93" s="8">
        <v>2.06666666666667</v>
      </c>
      <c r="M93" s="8">
        <v>0.88371510168853695</v>
      </c>
      <c r="N93" s="8">
        <v>0.22817425810878</v>
      </c>
      <c r="O93" s="39">
        <v>16</v>
      </c>
      <c r="P93" s="9">
        <v>2.6666666669999999</v>
      </c>
      <c r="Q93" s="9">
        <v>0.72374686399999999</v>
      </c>
      <c r="R93" s="9">
        <v>0.18687063700000001</v>
      </c>
      <c r="S93" s="33">
        <v>34</v>
      </c>
      <c r="T93" s="14">
        <v>2.3666666666666698</v>
      </c>
      <c r="U93" s="8">
        <v>0.85028730776551398</v>
      </c>
      <c r="V93" s="8">
        <v>0.15524051294117</v>
      </c>
      <c r="W93" s="35">
        <v>6.1111111111111109E-2</v>
      </c>
      <c r="X93" s="30">
        <v>24.110000000000014</v>
      </c>
    </row>
    <row r="94" spans="1:24">
      <c r="A94" s="18">
        <v>89</v>
      </c>
      <c r="B94" s="4" t="s">
        <v>84</v>
      </c>
      <c r="C94" s="38">
        <v>0</v>
      </c>
      <c r="D94" s="31">
        <v>2</v>
      </c>
      <c r="E94" s="31">
        <v>7</v>
      </c>
      <c r="F94" s="31">
        <v>11</v>
      </c>
      <c r="G94" s="7">
        <v>190.28</v>
      </c>
      <c r="H94" s="7">
        <v>214.06</v>
      </c>
      <c r="I94" s="7">
        <v>285.41000000000003</v>
      </c>
      <c r="J94" s="7">
        <v>356.77</v>
      </c>
      <c r="K94" s="31">
        <v>11</v>
      </c>
      <c r="L94" s="8">
        <v>2.93333333333333</v>
      </c>
      <c r="M94" s="8">
        <v>0.70373155054899705</v>
      </c>
      <c r="N94" s="8">
        <v>0.181702705031799</v>
      </c>
      <c r="O94" s="31">
        <v>14</v>
      </c>
      <c r="P94" s="9">
        <v>2.8</v>
      </c>
      <c r="Q94" s="9">
        <v>0.94112394799999999</v>
      </c>
      <c r="R94" s="9">
        <v>0.24299715899999999</v>
      </c>
      <c r="S94" s="33">
        <v>20</v>
      </c>
      <c r="T94" s="14">
        <v>2.8666666666666698</v>
      </c>
      <c r="U94" s="8">
        <v>0.81930724872668603</v>
      </c>
      <c r="V94" s="8">
        <v>0.14958435388503399</v>
      </c>
      <c r="W94" s="35">
        <v>0.28333333333333333</v>
      </c>
      <c r="X94" s="30">
        <v>23.78</v>
      </c>
    </row>
    <row r="95" spans="1:24">
      <c r="A95" s="16">
        <v>90</v>
      </c>
      <c r="B95" s="4" t="s">
        <v>85</v>
      </c>
      <c r="C95" s="38">
        <v>0</v>
      </c>
      <c r="D95" s="31">
        <v>2</v>
      </c>
      <c r="E95" s="31">
        <v>7</v>
      </c>
      <c r="F95" s="31">
        <v>12</v>
      </c>
      <c r="G95" s="7">
        <v>186.05</v>
      </c>
      <c r="H95" s="7">
        <v>209.3</v>
      </c>
      <c r="I95" s="7">
        <v>279.07</v>
      </c>
      <c r="J95" s="7">
        <v>372.1</v>
      </c>
      <c r="K95" s="38">
        <v>10</v>
      </c>
      <c r="L95" s="8">
        <v>3</v>
      </c>
      <c r="M95" s="8">
        <v>0.65465367070797698</v>
      </c>
      <c r="N95" s="8">
        <v>0.169030850945703</v>
      </c>
      <c r="O95" s="38">
        <v>8</v>
      </c>
      <c r="P95" s="9">
        <v>3.2</v>
      </c>
      <c r="Q95" s="9">
        <v>0.67612340400000004</v>
      </c>
      <c r="R95" s="9">
        <v>0.17457431200000001</v>
      </c>
      <c r="S95" s="33">
        <v>13</v>
      </c>
      <c r="T95" s="14">
        <v>3.1</v>
      </c>
      <c r="U95" s="8">
        <v>0.66176357899385696</v>
      </c>
      <c r="V95" s="8">
        <v>0.120820946650096</v>
      </c>
      <c r="W95" s="35">
        <v>0.25</v>
      </c>
      <c r="X95" s="30">
        <v>23.25</v>
      </c>
    </row>
    <row r="96" spans="1:24">
      <c r="A96" s="16">
        <v>91</v>
      </c>
      <c r="B96" s="4"/>
      <c r="C96" s="38">
        <v>0</v>
      </c>
      <c r="D96" s="31">
        <v>2</v>
      </c>
      <c r="E96" s="31">
        <v>8</v>
      </c>
      <c r="F96" s="31">
        <v>9</v>
      </c>
      <c r="G96" s="7">
        <v>194.1</v>
      </c>
      <c r="H96" s="7">
        <v>218.36</v>
      </c>
      <c r="I96" s="7">
        <v>310.56</v>
      </c>
      <c r="J96" s="7">
        <v>323.5</v>
      </c>
      <c r="K96" s="38">
        <v>38</v>
      </c>
      <c r="L96" s="8">
        <v>1.13333333333333</v>
      </c>
      <c r="M96" s="8">
        <v>0.35186577527449803</v>
      </c>
      <c r="N96" s="8">
        <v>9.0851352515899597E-2</v>
      </c>
      <c r="O96" s="38">
        <v>31</v>
      </c>
      <c r="P96" s="9">
        <v>1.6666666670000001</v>
      </c>
      <c r="Q96" s="9">
        <v>0.61721340000000002</v>
      </c>
      <c r="R96" s="9">
        <v>0.15936381499999999</v>
      </c>
      <c r="S96" s="33">
        <v>63</v>
      </c>
      <c r="T96" s="14">
        <v>1.4</v>
      </c>
      <c r="U96" s="8">
        <v>0.56324184797504595</v>
      </c>
      <c r="V96" s="8">
        <v>0.10283342182227601</v>
      </c>
      <c r="W96" s="35">
        <v>2.2314814814814815E-2</v>
      </c>
      <c r="X96" s="30">
        <v>12.939999999999998</v>
      </c>
    </row>
    <row r="97" spans="1:24">
      <c r="A97" s="17">
        <v>92</v>
      </c>
      <c r="B97" s="4"/>
      <c r="C97" s="39">
        <v>0</v>
      </c>
      <c r="D97" s="37">
        <v>2</v>
      </c>
      <c r="E97" s="37">
        <v>8</v>
      </c>
      <c r="F97" s="37">
        <v>10</v>
      </c>
      <c r="G97" s="12">
        <v>189.42</v>
      </c>
      <c r="H97" s="12">
        <v>213.09</v>
      </c>
      <c r="I97" s="12">
        <v>303.06</v>
      </c>
      <c r="J97" s="12">
        <v>340.95</v>
      </c>
      <c r="K97" s="39">
        <v>26</v>
      </c>
      <c r="L97" s="8">
        <v>1.93333333333333</v>
      </c>
      <c r="M97" s="8">
        <v>0.59361683970466395</v>
      </c>
      <c r="N97" s="8">
        <v>0.153271208946963</v>
      </c>
      <c r="O97" s="39">
        <v>20</v>
      </c>
      <c r="P97" s="9">
        <v>2.4</v>
      </c>
      <c r="Q97" s="9">
        <v>0.91025898999999999</v>
      </c>
      <c r="R97" s="9">
        <v>0.235027861</v>
      </c>
      <c r="S97" s="33">
        <v>40</v>
      </c>
      <c r="T97" s="14">
        <v>2.1666666666666701</v>
      </c>
      <c r="U97" s="8">
        <v>0.79147759387691796</v>
      </c>
      <c r="V97" s="8">
        <v>0.144503377308767</v>
      </c>
      <c r="W97" s="35">
        <v>6.6666666666666666E-2</v>
      </c>
      <c r="X97" s="30">
        <v>23.670000000000016</v>
      </c>
    </row>
    <row r="98" spans="1:24">
      <c r="A98" s="16">
        <v>93</v>
      </c>
      <c r="B98" s="4"/>
      <c r="C98" s="38">
        <v>0</v>
      </c>
      <c r="D98" s="31">
        <v>2</v>
      </c>
      <c r="E98" s="31">
        <v>8</v>
      </c>
      <c r="F98" s="31">
        <v>11</v>
      </c>
      <c r="G98" s="7">
        <v>186.88</v>
      </c>
      <c r="H98" s="7">
        <v>210.24</v>
      </c>
      <c r="I98" s="7">
        <v>299.01</v>
      </c>
      <c r="J98" s="7">
        <v>350.4</v>
      </c>
      <c r="K98" s="38">
        <v>26</v>
      </c>
      <c r="L98" s="8">
        <v>1.93333333333333</v>
      </c>
      <c r="M98" s="8">
        <v>0.59361683970466395</v>
      </c>
      <c r="N98" s="8">
        <v>0.153271208946963</v>
      </c>
      <c r="O98" s="38">
        <v>20</v>
      </c>
      <c r="P98" s="9">
        <v>2.4</v>
      </c>
      <c r="Q98" s="9">
        <v>0.63245553200000004</v>
      </c>
      <c r="R98" s="9">
        <v>0.163299316</v>
      </c>
      <c r="S98" s="33">
        <v>40</v>
      </c>
      <c r="T98" s="14">
        <v>2.1666666666666701</v>
      </c>
      <c r="U98" s="8">
        <v>0.64771925236560501</v>
      </c>
      <c r="V98" s="8">
        <v>0.118256815150341</v>
      </c>
      <c r="W98" s="35">
        <v>6.4722222222222223E-2</v>
      </c>
      <c r="X98" s="30">
        <v>23.360000000000014</v>
      </c>
    </row>
    <row r="99" spans="1:24">
      <c r="A99" s="15">
        <v>94</v>
      </c>
      <c r="B99" s="4"/>
      <c r="C99" s="32">
        <v>0</v>
      </c>
      <c r="D99" s="31">
        <v>2</v>
      </c>
      <c r="E99" s="31">
        <v>8</v>
      </c>
      <c r="F99" s="31">
        <v>12</v>
      </c>
      <c r="G99" s="7">
        <v>182.8</v>
      </c>
      <c r="H99" s="7">
        <v>205.65</v>
      </c>
      <c r="I99" s="7">
        <v>292.48</v>
      </c>
      <c r="J99" s="7">
        <v>365.6</v>
      </c>
      <c r="K99" s="40">
        <v>19</v>
      </c>
      <c r="L99" s="8">
        <v>2.4</v>
      </c>
      <c r="M99" s="8">
        <v>0.73678839761300696</v>
      </c>
      <c r="N99" s="8">
        <v>0.190237946242268</v>
      </c>
      <c r="O99" s="38">
        <v>19</v>
      </c>
      <c r="P99" s="9">
        <v>2.4666666670000001</v>
      </c>
      <c r="Q99" s="9">
        <v>0.83380938800000004</v>
      </c>
      <c r="R99" s="9">
        <v>0.21528865799999999</v>
      </c>
      <c r="S99" s="33">
        <v>32</v>
      </c>
      <c r="T99" s="14">
        <v>2.43333333333333</v>
      </c>
      <c r="U99" s="8">
        <v>0.77385436272766694</v>
      </c>
      <c r="V99" s="8">
        <v>0.14128583022990901</v>
      </c>
      <c r="W99" s="35">
        <v>5.6944444444444443E-2</v>
      </c>
      <c r="X99" s="30">
        <v>22.849999999999994</v>
      </c>
    </row>
    <row r="100" spans="1:24">
      <c r="A100" s="15">
        <v>95</v>
      </c>
      <c r="B100" s="4"/>
      <c r="C100" s="32">
        <v>0</v>
      </c>
      <c r="D100" s="31">
        <v>2</v>
      </c>
      <c r="E100" s="31">
        <v>9</v>
      </c>
      <c r="F100" s="31">
        <v>10</v>
      </c>
      <c r="G100" s="7">
        <v>187.16</v>
      </c>
      <c r="H100" s="7">
        <v>210.55</v>
      </c>
      <c r="I100" s="7">
        <v>311.93</v>
      </c>
      <c r="J100" s="7">
        <v>336.88</v>
      </c>
      <c r="K100" s="40">
        <v>31</v>
      </c>
      <c r="L100" s="8">
        <v>1.6</v>
      </c>
      <c r="M100" s="8">
        <v>0.50709255283710997</v>
      </c>
      <c r="N100" s="8">
        <v>0.13093073414159501</v>
      </c>
      <c r="O100" s="38">
        <v>34</v>
      </c>
      <c r="P100" s="9">
        <v>1.4666666669999999</v>
      </c>
      <c r="Q100" s="9">
        <v>0.63994047300000001</v>
      </c>
      <c r="R100" s="9">
        <v>0.16523192</v>
      </c>
      <c r="S100" s="33">
        <v>59</v>
      </c>
      <c r="T100" s="14">
        <v>1.5333333333333301</v>
      </c>
      <c r="U100" s="8">
        <v>0.57134646372336595</v>
      </c>
      <c r="V100" s="8">
        <v>0.104313115444032</v>
      </c>
      <c r="W100" s="35">
        <v>2.1851851851851851E-2</v>
      </c>
      <c r="X100" s="30">
        <v>23.390000000000015</v>
      </c>
    </row>
    <row r="101" spans="1:24">
      <c r="A101" s="15">
        <v>96</v>
      </c>
      <c r="B101" s="4"/>
      <c r="C101" s="32">
        <v>0</v>
      </c>
      <c r="D101" s="31">
        <v>2</v>
      </c>
      <c r="E101" s="31">
        <v>9</v>
      </c>
      <c r="F101" s="31">
        <v>11</v>
      </c>
      <c r="G101" s="7">
        <v>184.68</v>
      </c>
      <c r="H101" s="7">
        <v>207.77</v>
      </c>
      <c r="I101" s="7">
        <v>307.8</v>
      </c>
      <c r="J101" s="7">
        <v>346.28</v>
      </c>
      <c r="K101" s="40">
        <v>26</v>
      </c>
      <c r="L101" s="8">
        <v>1.93333333333333</v>
      </c>
      <c r="M101" s="8">
        <v>0.70373155054899705</v>
      </c>
      <c r="N101" s="8">
        <v>0.181702705031799</v>
      </c>
      <c r="O101" s="38">
        <v>23</v>
      </c>
      <c r="P101" s="9">
        <v>2.2000000000000002</v>
      </c>
      <c r="Q101" s="9">
        <v>0.67612340400000004</v>
      </c>
      <c r="R101" s="9">
        <v>0.17457431200000001</v>
      </c>
      <c r="S101" s="33">
        <v>43</v>
      </c>
      <c r="T101" s="14">
        <v>2.06666666666667</v>
      </c>
      <c r="U101" s="8">
        <v>0.691491807283521</v>
      </c>
      <c r="V101" s="8">
        <v>0.12624855372640001</v>
      </c>
      <c r="W101" s="35">
        <v>0.1037037037037037</v>
      </c>
      <c r="X101" s="30">
        <v>23.090000000000003</v>
      </c>
    </row>
    <row r="102" spans="1:24">
      <c r="A102" s="15">
        <v>97</v>
      </c>
      <c r="B102" s="4"/>
      <c r="C102" s="32">
        <v>0</v>
      </c>
      <c r="D102" s="31">
        <v>2</v>
      </c>
      <c r="E102" s="31">
        <v>9</v>
      </c>
      <c r="F102" s="31">
        <v>12</v>
      </c>
      <c r="G102" s="7">
        <v>180.69</v>
      </c>
      <c r="H102" s="7">
        <v>203.28</v>
      </c>
      <c r="I102" s="7">
        <v>301.16000000000003</v>
      </c>
      <c r="J102" s="7">
        <v>361.39</v>
      </c>
      <c r="K102" s="40">
        <v>17</v>
      </c>
      <c r="L102" s="8">
        <v>2.5333333333333301</v>
      </c>
      <c r="M102" s="8">
        <v>0.74322335295720698</v>
      </c>
      <c r="N102" s="8">
        <v>0.19189944456771299</v>
      </c>
      <c r="O102" s="38">
        <v>16</v>
      </c>
      <c r="P102" s="9">
        <v>2.6666666669999999</v>
      </c>
      <c r="Q102" s="9">
        <v>0.72374686399999999</v>
      </c>
      <c r="R102" s="9">
        <v>0.18687063700000001</v>
      </c>
      <c r="S102" s="33">
        <v>27</v>
      </c>
      <c r="T102" s="14">
        <v>2.6</v>
      </c>
      <c r="U102" s="8">
        <v>0.72397370880059098</v>
      </c>
      <c r="V102" s="8">
        <v>0.13217891045025301</v>
      </c>
      <c r="W102" s="35">
        <v>9.0740740740740747E-2</v>
      </c>
      <c r="X102" s="30">
        <v>22.590000000000003</v>
      </c>
    </row>
    <row r="103" spans="1:24">
      <c r="A103" s="15">
        <v>98</v>
      </c>
      <c r="B103" s="4"/>
      <c r="C103" s="32">
        <v>0</v>
      </c>
      <c r="D103" s="31">
        <v>2</v>
      </c>
      <c r="E103" s="31">
        <v>10</v>
      </c>
      <c r="F103" s="31">
        <v>11</v>
      </c>
      <c r="G103" s="7">
        <v>180.43</v>
      </c>
      <c r="H103" s="7">
        <v>202.99</v>
      </c>
      <c r="I103" s="7">
        <v>324.77999999999997</v>
      </c>
      <c r="J103" s="7">
        <v>338.31</v>
      </c>
      <c r="K103" s="40">
        <v>36</v>
      </c>
      <c r="L103" s="8">
        <v>1.2666666666666699</v>
      </c>
      <c r="M103" s="8">
        <v>0.457737708217064</v>
      </c>
      <c r="N103" s="8">
        <v>0.118187368057056</v>
      </c>
      <c r="O103" s="38">
        <v>32</v>
      </c>
      <c r="P103" s="9">
        <v>1.6</v>
      </c>
      <c r="Q103" s="9">
        <v>0.73678839799999996</v>
      </c>
      <c r="R103" s="9">
        <v>0.19023794599999999</v>
      </c>
      <c r="S103" s="33">
        <v>62</v>
      </c>
      <c r="T103" s="14">
        <v>1.43333333333333</v>
      </c>
      <c r="U103" s="8">
        <v>0.62606231557929304</v>
      </c>
      <c r="V103" s="8">
        <v>0.114302817548899</v>
      </c>
      <c r="W103" s="35">
        <v>6.3333333333333339E-2</v>
      </c>
      <c r="X103" s="30">
        <v>13.53000000000003</v>
      </c>
    </row>
    <row r="104" spans="1:24">
      <c r="A104" s="15">
        <v>99</v>
      </c>
      <c r="B104" s="4"/>
      <c r="C104" s="32">
        <v>0</v>
      </c>
      <c r="D104" s="31">
        <v>2</v>
      </c>
      <c r="E104" s="31">
        <v>10</v>
      </c>
      <c r="F104" s="31">
        <v>12</v>
      </c>
      <c r="G104" s="7">
        <v>176.63</v>
      </c>
      <c r="H104" s="7">
        <v>198.71</v>
      </c>
      <c r="I104" s="7">
        <v>317.93</v>
      </c>
      <c r="J104" s="7">
        <v>353.26</v>
      </c>
      <c r="K104" s="40">
        <v>27</v>
      </c>
      <c r="L104" s="8">
        <v>1.86666666666667</v>
      </c>
      <c r="M104" s="8">
        <v>0.63994047342218396</v>
      </c>
      <c r="N104" s="8">
        <v>0.16523191974188101</v>
      </c>
      <c r="O104" s="38">
        <v>21</v>
      </c>
      <c r="P104" s="9">
        <v>2.3333333330000001</v>
      </c>
      <c r="Q104" s="9">
        <v>0.72374686399999999</v>
      </c>
      <c r="R104" s="9">
        <v>0.18687063700000001</v>
      </c>
      <c r="S104" s="33">
        <v>42</v>
      </c>
      <c r="T104" s="14">
        <v>2.1</v>
      </c>
      <c r="U104" s="8">
        <v>0.71196667880185105</v>
      </c>
      <c r="V104" s="8">
        <v>0.12998673672393601</v>
      </c>
      <c r="W104" s="35">
        <v>5.5555555555555552E-2</v>
      </c>
      <c r="X104" s="30">
        <v>22.080000000000013</v>
      </c>
    </row>
    <row r="105" spans="1:24">
      <c r="A105" s="13">
        <v>100</v>
      </c>
      <c r="B105" s="4"/>
      <c r="C105" s="36">
        <v>0</v>
      </c>
      <c r="D105" s="37">
        <v>2</v>
      </c>
      <c r="E105" s="37">
        <v>11</v>
      </c>
      <c r="F105" s="37">
        <v>12</v>
      </c>
      <c r="G105" s="12">
        <v>174.42</v>
      </c>
      <c r="H105" s="12">
        <v>196.22</v>
      </c>
      <c r="I105" s="12">
        <v>327.04000000000002</v>
      </c>
      <c r="J105" s="12">
        <v>348.84</v>
      </c>
      <c r="K105" s="34">
        <v>22</v>
      </c>
      <c r="L105" s="8">
        <v>2.2000000000000002</v>
      </c>
      <c r="M105" s="8">
        <v>0.67612340378281299</v>
      </c>
      <c r="N105" s="8">
        <v>0.17457431218879399</v>
      </c>
      <c r="O105" s="37">
        <v>25</v>
      </c>
      <c r="P105" s="9">
        <v>2.0666666669999998</v>
      </c>
      <c r="Q105" s="9">
        <v>0.70373155099999996</v>
      </c>
      <c r="R105" s="9">
        <v>0.18170270499999999</v>
      </c>
      <c r="S105" s="33">
        <v>41</v>
      </c>
      <c r="T105" s="14">
        <v>2.1333333333333302</v>
      </c>
      <c r="U105" s="8">
        <v>0.68144538746105998</v>
      </c>
      <c r="V105" s="8">
        <v>0.12441433680675699</v>
      </c>
      <c r="W105" s="35">
        <v>0.26111111111111113</v>
      </c>
      <c r="X105" s="30">
        <v>21.799999999999955</v>
      </c>
    </row>
    <row r="106" spans="1:24">
      <c r="A106" s="13">
        <v>101</v>
      </c>
      <c r="B106" s="4"/>
      <c r="C106" s="36">
        <v>0</v>
      </c>
      <c r="D106" s="37">
        <v>3</v>
      </c>
      <c r="E106" s="37">
        <v>4</v>
      </c>
      <c r="F106" s="37">
        <v>5</v>
      </c>
      <c r="G106" s="12">
        <v>218.78</v>
      </c>
      <c r="H106" s="12">
        <v>262.54000000000002</v>
      </c>
      <c r="I106" s="12">
        <v>273.48</v>
      </c>
      <c r="J106" s="12">
        <v>291.70999999999998</v>
      </c>
      <c r="K106" s="34">
        <v>36</v>
      </c>
      <c r="L106" s="8">
        <v>1.2666666666666699</v>
      </c>
      <c r="M106" s="8">
        <v>0.457737708217064</v>
      </c>
      <c r="N106" s="8">
        <v>0.118187368057056</v>
      </c>
      <c r="O106" s="39">
        <v>31</v>
      </c>
      <c r="P106" s="9">
        <v>1.6666666670000001</v>
      </c>
      <c r="Q106" s="9">
        <v>0.61721340000000002</v>
      </c>
      <c r="R106" s="9">
        <v>0.15936381499999999</v>
      </c>
      <c r="S106" s="33">
        <v>61</v>
      </c>
      <c r="T106" s="14">
        <v>1.4666666666666699</v>
      </c>
      <c r="U106" s="8">
        <v>0.57134646372336595</v>
      </c>
      <c r="V106" s="8">
        <v>0.104313115444032</v>
      </c>
      <c r="W106" s="35">
        <v>4.611111111111111E-2</v>
      </c>
      <c r="X106" s="30">
        <v>10.939999999999998</v>
      </c>
    </row>
    <row r="107" spans="1:24">
      <c r="A107" s="15">
        <v>102</v>
      </c>
      <c r="B107" s="4"/>
      <c r="C107" s="32">
        <v>0</v>
      </c>
      <c r="D107" s="31">
        <v>3</v>
      </c>
      <c r="E107" s="31">
        <v>4</v>
      </c>
      <c r="F107" s="31">
        <v>6</v>
      </c>
      <c r="G107" s="7">
        <v>215.78</v>
      </c>
      <c r="H107" s="7">
        <v>258.93</v>
      </c>
      <c r="I107" s="7">
        <v>269.72000000000003</v>
      </c>
      <c r="J107" s="7">
        <v>302.08999999999997</v>
      </c>
      <c r="K107" s="40">
        <v>34</v>
      </c>
      <c r="L107" s="8">
        <v>1.4</v>
      </c>
      <c r="M107" s="8">
        <v>0.50709255283710997</v>
      </c>
      <c r="N107" s="8">
        <v>0.13093073414159501</v>
      </c>
      <c r="O107" s="38">
        <v>26</v>
      </c>
      <c r="P107" s="9">
        <v>2</v>
      </c>
      <c r="Q107" s="9">
        <v>0.84515425499999997</v>
      </c>
      <c r="R107" s="9">
        <v>0.21821789</v>
      </c>
      <c r="S107" s="33">
        <v>54</v>
      </c>
      <c r="T107" s="14">
        <v>1.7</v>
      </c>
      <c r="U107" s="8">
        <v>0.74971258860795498</v>
      </c>
      <c r="V107" s="8">
        <v>0.136878165475389</v>
      </c>
      <c r="W107" s="35">
        <v>0.13714285714285715</v>
      </c>
      <c r="X107" s="30">
        <v>10.79000000000002</v>
      </c>
    </row>
    <row r="108" spans="1:24">
      <c r="A108" s="15">
        <v>103</v>
      </c>
      <c r="B108" s="4" t="s">
        <v>73</v>
      </c>
      <c r="C108" s="32">
        <v>0</v>
      </c>
      <c r="D108" s="31">
        <v>3</v>
      </c>
      <c r="E108" s="31">
        <v>4</v>
      </c>
      <c r="F108" s="31">
        <v>7</v>
      </c>
      <c r="G108" s="7">
        <v>211.42</v>
      </c>
      <c r="H108" s="7">
        <v>253.7</v>
      </c>
      <c r="I108" s="7">
        <v>264.27</v>
      </c>
      <c r="J108" s="7">
        <v>317.13</v>
      </c>
      <c r="K108" s="40">
        <v>30</v>
      </c>
      <c r="L108" s="8">
        <v>1.6666666666666701</v>
      </c>
      <c r="M108" s="8">
        <v>0.72374686445574599</v>
      </c>
      <c r="N108" s="8">
        <v>0.18687063686046301</v>
      </c>
      <c r="O108" s="38">
        <v>27</v>
      </c>
      <c r="P108" s="9">
        <v>1.933333333</v>
      </c>
      <c r="Q108" s="9">
        <v>0.70373155099999996</v>
      </c>
      <c r="R108" s="9">
        <v>0.18170270499999999</v>
      </c>
      <c r="S108" s="33">
        <v>51</v>
      </c>
      <c r="T108" s="14">
        <v>1.8</v>
      </c>
      <c r="U108" s="8">
        <v>0.71438422965950699</v>
      </c>
      <c r="V108" s="8">
        <v>0.130428119103488</v>
      </c>
      <c r="W108" s="35">
        <v>0.12666666666666668</v>
      </c>
      <c r="X108" s="30">
        <v>10.569999999999993</v>
      </c>
    </row>
    <row r="109" spans="1:24">
      <c r="A109" s="15">
        <v>104</v>
      </c>
      <c r="B109" s="4"/>
      <c r="C109" s="32">
        <v>0</v>
      </c>
      <c r="D109" s="31">
        <v>3</v>
      </c>
      <c r="E109" s="31">
        <v>4</v>
      </c>
      <c r="F109" s="31">
        <v>8</v>
      </c>
      <c r="G109" s="7">
        <v>207.23</v>
      </c>
      <c r="H109" s="7">
        <v>248.68</v>
      </c>
      <c r="I109" s="7">
        <v>259.04000000000002</v>
      </c>
      <c r="J109" s="7">
        <v>331.57</v>
      </c>
      <c r="K109" s="40">
        <v>25</v>
      </c>
      <c r="L109" s="8">
        <v>2</v>
      </c>
      <c r="M109" s="8">
        <v>0.75592894601845395</v>
      </c>
      <c r="N109" s="8">
        <v>0.19518001458970699</v>
      </c>
      <c r="O109" s="38">
        <v>22</v>
      </c>
      <c r="P109" s="9">
        <v>2.266666667</v>
      </c>
      <c r="Q109" s="9">
        <v>0.79880863700000004</v>
      </c>
      <c r="R109" s="9">
        <v>0.206251503</v>
      </c>
      <c r="S109" s="33">
        <v>41</v>
      </c>
      <c r="T109" s="14">
        <v>2.1333333333333302</v>
      </c>
      <c r="U109" s="8">
        <v>0.77607915226136104</v>
      </c>
      <c r="V109" s="8">
        <v>0.141692019367678</v>
      </c>
      <c r="W109" s="35">
        <v>0.13</v>
      </c>
      <c r="X109" s="30">
        <v>10.360000000000014</v>
      </c>
    </row>
    <row r="110" spans="1:24">
      <c r="A110" s="15">
        <v>105</v>
      </c>
      <c r="B110" s="4"/>
      <c r="C110" s="32">
        <v>0</v>
      </c>
      <c r="D110" s="31">
        <v>3</v>
      </c>
      <c r="E110" s="31">
        <v>4</v>
      </c>
      <c r="F110" s="31">
        <v>9</v>
      </c>
      <c r="G110" s="7">
        <v>204.53</v>
      </c>
      <c r="H110" s="7">
        <v>245.44</v>
      </c>
      <c r="I110" s="7">
        <v>255.66</v>
      </c>
      <c r="J110" s="7">
        <v>340.89</v>
      </c>
      <c r="K110" s="40">
        <v>34</v>
      </c>
      <c r="L110" s="8">
        <v>1.4</v>
      </c>
      <c r="M110" s="8">
        <v>0.50709255283710997</v>
      </c>
      <c r="N110" s="8">
        <v>0.13093073414159501</v>
      </c>
      <c r="O110" s="31">
        <v>27</v>
      </c>
      <c r="P110" s="9">
        <v>1.933333333</v>
      </c>
      <c r="Q110" s="9">
        <v>0.79880863700000004</v>
      </c>
      <c r="R110" s="9">
        <v>0.206251503</v>
      </c>
      <c r="S110" s="33">
        <v>55</v>
      </c>
      <c r="T110" s="14">
        <v>1.6666666666666701</v>
      </c>
      <c r="U110" s="8">
        <v>0.71115900221875905</v>
      </c>
      <c r="V110" s="8">
        <v>0.12983927582936</v>
      </c>
      <c r="W110" s="35">
        <v>4.4444444444444446E-2</v>
      </c>
      <c r="X110" s="30">
        <v>10.219999999999999</v>
      </c>
    </row>
    <row r="111" spans="1:24">
      <c r="A111" s="15">
        <v>106</v>
      </c>
      <c r="B111" s="4"/>
      <c r="C111" s="32">
        <v>0</v>
      </c>
      <c r="D111" s="31">
        <v>3</v>
      </c>
      <c r="E111" s="31">
        <v>4</v>
      </c>
      <c r="F111" s="31">
        <v>10</v>
      </c>
      <c r="G111" s="7">
        <v>199.34</v>
      </c>
      <c r="H111" s="7">
        <v>239.2</v>
      </c>
      <c r="I111" s="7">
        <v>249.17</v>
      </c>
      <c r="J111" s="7">
        <v>358.81</v>
      </c>
      <c r="K111" s="40">
        <v>31</v>
      </c>
      <c r="L111" s="8">
        <v>1.6</v>
      </c>
      <c r="M111" s="8">
        <v>0.50709255283710997</v>
      </c>
      <c r="N111" s="8">
        <v>0.13093073414159501</v>
      </c>
      <c r="O111" s="31">
        <v>25</v>
      </c>
      <c r="P111" s="9">
        <v>2.0666666669999998</v>
      </c>
      <c r="Q111" s="9">
        <v>0.79880863700000004</v>
      </c>
      <c r="R111" s="9">
        <v>0.206251503</v>
      </c>
      <c r="S111" s="33">
        <v>50</v>
      </c>
      <c r="T111" s="14">
        <v>1.8333333333333299</v>
      </c>
      <c r="U111" s="8">
        <v>0.69893186157624598</v>
      </c>
      <c r="V111" s="8">
        <v>0.127606915581463</v>
      </c>
      <c r="W111" s="35">
        <v>0.12444444444444444</v>
      </c>
      <c r="X111" s="30">
        <v>9.9699999999999989</v>
      </c>
    </row>
    <row r="112" spans="1:24">
      <c r="A112" s="13">
        <v>107</v>
      </c>
      <c r="B112" s="4"/>
      <c r="C112" s="36">
        <v>0</v>
      </c>
      <c r="D112" s="37">
        <v>3</v>
      </c>
      <c r="E112" s="37">
        <v>4</v>
      </c>
      <c r="F112" s="37">
        <v>11</v>
      </c>
      <c r="G112" s="12">
        <v>196.53</v>
      </c>
      <c r="H112" s="12">
        <v>235.84</v>
      </c>
      <c r="I112" s="12">
        <v>245.66</v>
      </c>
      <c r="J112" s="12">
        <v>368.49</v>
      </c>
      <c r="K112" s="34">
        <v>31</v>
      </c>
      <c r="L112" s="8">
        <v>1.6</v>
      </c>
      <c r="M112" s="8">
        <v>0.50709255283710997</v>
      </c>
      <c r="N112" s="8">
        <v>0.13093073414159501</v>
      </c>
      <c r="O112" s="39">
        <v>33</v>
      </c>
      <c r="P112" s="9">
        <v>1.5333333330000001</v>
      </c>
      <c r="Q112" s="9">
        <v>0.63994047300000001</v>
      </c>
      <c r="R112" s="9">
        <v>0.16523192</v>
      </c>
      <c r="S112" s="33">
        <v>58</v>
      </c>
      <c r="T112" s="14">
        <v>1.56666666666667</v>
      </c>
      <c r="U112" s="8">
        <v>0.56832077715593499</v>
      </c>
      <c r="V112" s="8">
        <v>0.103760703182391</v>
      </c>
      <c r="W112" s="35">
        <v>6.3333333333333339E-2</v>
      </c>
      <c r="X112" s="30">
        <v>9.8199999999999932</v>
      </c>
    </row>
    <row r="113" spans="1:24">
      <c r="A113" s="15">
        <v>108</v>
      </c>
      <c r="B113" s="4"/>
      <c r="C113" s="32">
        <v>0</v>
      </c>
      <c r="D113" s="31">
        <v>3</v>
      </c>
      <c r="E113" s="31">
        <v>4</v>
      </c>
      <c r="F113" s="31">
        <v>12</v>
      </c>
      <c r="G113" s="7">
        <v>192.02</v>
      </c>
      <c r="H113" s="7">
        <v>230.43</v>
      </c>
      <c r="I113" s="7">
        <v>240.03</v>
      </c>
      <c r="J113" s="7">
        <v>384.04</v>
      </c>
      <c r="K113" s="40">
        <v>35</v>
      </c>
      <c r="L113" s="8">
        <v>1.3333333333333299</v>
      </c>
      <c r="M113" s="8">
        <v>0.48795003647426699</v>
      </c>
      <c r="N113" s="8">
        <v>0.125988157669742</v>
      </c>
      <c r="O113" s="38">
        <v>30</v>
      </c>
      <c r="P113" s="9">
        <v>1.733333333</v>
      </c>
      <c r="Q113" s="9">
        <v>0.70373155099999996</v>
      </c>
      <c r="R113" s="9">
        <v>0.18170270499999999</v>
      </c>
      <c r="S113" s="33">
        <v>59</v>
      </c>
      <c r="T113" s="14">
        <v>1.5333333333333301</v>
      </c>
      <c r="U113" s="8">
        <v>0.62881022482985705</v>
      </c>
      <c r="V113" s="8">
        <v>0.114804514843069</v>
      </c>
      <c r="W113" s="35">
        <v>0.11333333333333333</v>
      </c>
      <c r="X113" s="30">
        <v>9.5999999999999943</v>
      </c>
    </row>
    <row r="114" spans="1:24">
      <c r="A114" s="15">
        <v>109</v>
      </c>
      <c r="B114" s="4"/>
      <c r="C114" s="32">
        <v>0</v>
      </c>
      <c r="D114" s="31">
        <v>3</v>
      </c>
      <c r="E114" s="31">
        <v>5</v>
      </c>
      <c r="F114" s="31">
        <v>6</v>
      </c>
      <c r="G114" s="7">
        <v>212.13</v>
      </c>
      <c r="H114" s="7">
        <v>254.56</v>
      </c>
      <c r="I114" s="7">
        <v>282.83999999999997</v>
      </c>
      <c r="J114" s="7">
        <v>296.99</v>
      </c>
      <c r="K114" s="40">
        <v>33</v>
      </c>
      <c r="L114" s="8">
        <v>1.4666666666666699</v>
      </c>
      <c r="M114" s="8">
        <v>0.51639777949432197</v>
      </c>
      <c r="N114" s="8">
        <v>0.133333333333333</v>
      </c>
      <c r="O114" s="38">
        <v>25</v>
      </c>
      <c r="P114" s="9">
        <v>2.0666666669999998</v>
      </c>
      <c r="Q114" s="9">
        <v>0.88371510200000003</v>
      </c>
      <c r="R114" s="9">
        <v>0.22817425799999999</v>
      </c>
      <c r="S114" s="33">
        <v>52</v>
      </c>
      <c r="T114" s="14">
        <v>1.7666666666666699</v>
      </c>
      <c r="U114" s="8">
        <v>0.77385436272766694</v>
      </c>
      <c r="V114" s="8">
        <v>0.14128583022990901</v>
      </c>
      <c r="W114" s="35">
        <v>0.1761904761904762</v>
      </c>
      <c r="X114" s="30">
        <v>14.150000000000034</v>
      </c>
    </row>
    <row r="115" spans="1:24">
      <c r="A115" s="15">
        <v>110</v>
      </c>
      <c r="B115" s="4" t="s">
        <v>72</v>
      </c>
      <c r="C115" s="32">
        <v>0</v>
      </c>
      <c r="D115" s="31">
        <v>3</v>
      </c>
      <c r="E115" s="31">
        <v>5</v>
      </c>
      <c r="F115" s="31">
        <v>7</v>
      </c>
      <c r="G115" s="7">
        <v>207.92</v>
      </c>
      <c r="H115" s="7">
        <v>249.5</v>
      </c>
      <c r="I115" s="7">
        <v>277.22000000000003</v>
      </c>
      <c r="J115" s="7">
        <v>311.88</v>
      </c>
      <c r="K115" s="40">
        <v>12</v>
      </c>
      <c r="L115" s="8">
        <v>2.8666666666666698</v>
      </c>
      <c r="M115" s="8">
        <v>0.63994047342218396</v>
      </c>
      <c r="N115" s="8">
        <v>0.16523191974188101</v>
      </c>
      <c r="O115" s="38">
        <v>11</v>
      </c>
      <c r="P115" s="9">
        <v>3</v>
      </c>
      <c r="Q115" s="9">
        <v>0.65465367100000005</v>
      </c>
      <c r="R115" s="9">
        <v>0.16903085100000001</v>
      </c>
      <c r="S115" s="33">
        <v>18</v>
      </c>
      <c r="T115" s="14">
        <v>2.93333333333333</v>
      </c>
      <c r="U115" s="8">
        <v>0.63968382994949202</v>
      </c>
      <c r="V115" s="8">
        <v>0.116789754444879</v>
      </c>
      <c r="W115" s="35">
        <v>8.3333333333333329E-2</v>
      </c>
      <c r="X115" s="30">
        <v>27.720000000000027</v>
      </c>
    </row>
    <row r="116" spans="1:24">
      <c r="A116" s="15">
        <v>111</v>
      </c>
      <c r="B116" s="3"/>
      <c r="C116" s="32">
        <v>0</v>
      </c>
      <c r="D116" s="31">
        <v>3</v>
      </c>
      <c r="E116" s="31">
        <v>5</v>
      </c>
      <c r="F116" s="31">
        <v>8</v>
      </c>
      <c r="G116" s="7">
        <v>203.87</v>
      </c>
      <c r="H116" s="7">
        <v>244.64</v>
      </c>
      <c r="I116" s="7">
        <v>271.82</v>
      </c>
      <c r="J116" s="7">
        <v>326.19</v>
      </c>
      <c r="K116" s="40">
        <v>14</v>
      </c>
      <c r="L116" s="8">
        <v>2.7333333333333298</v>
      </c>
      <c r="M116" s="8">
        <v>0.457737708217064</v>
      </c>
      <c r="N116" s="8">
        <v>0.118187368057056</v>
      </c>
      <c r="O116" s="38">
        <v>10</v>
      </c>
      <c r="P116" s="9">
        <v>3.0666666669999998</v>
      </c>
      <c r="Q116" s="9">
        <v>0.70373155099999996</v>
      </c>
      <c r="R116" s="9">
        <v>0.18170270499999999</v>
      </c>
      <c r="S116" s="33">
        <v>19</v>
      </c>
      <c r="T116" s="14">
        <v>2.9</v>
      </c>
      <c r="U116" s="8">
        <v>0.60742531824198698</v>
      </c>
      <c r="V116" s="8">
        <v>0.11090018293363001</v>
      </c>
      <c r="W116" s="35">
        <v>0.16666666666666666</v>
      </c>
      <c r="X116" s="30">
        <v>27.180000000000007</v>
      </c>
    </row>
    <row r="117" spans="1:24">
      <c r="A117" s="15">
        <v>112</v>
      </c>
      <c r="B117" s="3"/>
      <c r="C117" s="32">
        <v>0</v>
      </c>
      <c r="D117" s="31">
        <v>3</v>
      </c>
      <c r="E117" s="31">
        <v>5</v>
      </c>
      <c r="F117" s="31">
        <v>9</v>
      </c>
      <c r="G117" s="7">
        <v>201.25</v>
      </c>
      <c r="H117" s="7">
        <v>241.5</v>
      </c>
      <c r="I117" s="7">
        <v>268.33999999999997</v>
      </c>
      <c r="J117" s="7">
        <v>335.42</v>
      </c>
      <c r="K117" s="40">
        <v>11</v>
      </c>
      <c r="L117" s="8">
        <v>2.93333333333333</v>
      </c>
      <c r="M117" s="8">
        <v>0.70373155054899705</v>
      </c>
      <c r="N117" s="8">
        <v>0.181702705031799</v>
      </c>
      <c r="O117" s="32">
        <v>12</v>
      </c>
      <c r="P117" s="9">
        <v>2.9333333330000002</v>
      </c>
      <c r="Q117" s="9">
        <v>0.96115010499999998</v>
      </c>
      <c r="R117" s="9">
        <v>0.24816789</v>
      </c>
      <c r="S117" s="33">
        <v>18</v>
      </c>
      <c r="T117" s="14">
        <v>2.93333333333333</v>
      </c>
      <c r="U117" s="8">
        <v>0.82768198679466698</v>
      </c>
      <c r="V117" s="8">
        <v>0.15111336486937699</v>
      </c>
      <c r="W117" s="35">
        <v>0.16444444444444445</v>
      </c>
      <c r="X117" s="30">
        <v>26.839999999999975</v>
      </c>
    </row>
    <row r="118" spans="1:24">
      <c r="A118" s="15">
        <v>113</v>
      </c>
      <c r="B118" s="4"/>
      <c r="C118" s="32">
        <v>0</v>
      </c>
      <c r="D118" s="31">
        <v>3</v>
      </c>
      <c r="E118" s="31">
        <v>5</v>
      </c>
      <c r="F118" s="31">
        <v>10</v>
      </c>
      <c r="G118" s="7">
        <v>196.22</v>
      </c>
      <c r="H118" s="7">
        <v>235.47</v>
      </c>
      <c r="I118" s="7">
        <v>261.63</v>
      </c>
      <c r="J118" s="7">
        <v>353.2</v>
      </c>
      <c r="K118" s="40">
        <v>18</v>
      </c>
      <c r="L118" s="8">
        <v>2.4666666666666699</v>
      </c>
      <c r="M118" s="8">
        <v>0.74322335295720698</v>
      </c>
      <c r="N118" s="8">
        <v>0.19189944456771299</v>
      </c>
      <c r="O118" s="32">
        <v>17</v>
      </c>
      <c r="P118" s="9">
        <v>2.6</v>
      </c>
      <c r="Q118" s="9">
        <v>0.73678839799999996</v>
      </c>
      <c r="R118" s="9">
        <v>0.19023794599999999</v>
      </c>
      <c r="S118" s="33">
        <v>29</v>
      </c>
      <c r="T118" s="14">
        <v>2.5333333333333301</v>
      </c>
      <c r="U118" s="8">
        <v>0.73029674334022199</v>
      </c>
      <c r="V118" s="8">
        <v>0.133333333333333</v>
      </c>
      <c r="W118" s="35">
        <v>0.15925925925925927</v>
      </c>
      <c r="X118" s="30">
        <v>26.159999999999997</v>
      </c>
    </row>
    <row r="119" spans="1:24">
      <c r="A119" s="15">
        <v>114</v>
      </c>
      <c r="B119" s="4"/>
      <c r="C119" s="32">
        <v>0</v>
      </c>
      <c r="D119" s="31">
        <v>3</v>
      </c>
      <c r="E119" s="31">
        <v>5</v>
      </c>
      <c r="F119" s="31">
        <v>11</v>
      </c>
      <c r="G119" s="7">
        <v>193.5</v>
      </c>
      <c r="H119" s="7">
        <v>232.2</v>
      </c>
      <c r="I119" s="7">
        <v>258</v>
      </c>
      <c r="J119" s="7">
        <v>362.82</v>
      </c>
      <c r="K119" s="40">
        <v>31</v>
      </c>
      <c r="L119" s="8">
        <v>1.6</v>
      </c>
      <c r="M119" s="8">
        <v>0.50709255283710997</v>
      </c>
      <c r="N119" s="8">
        <v>0.13093073414159501</v>
      </c>
      <c r="O119" s="32">
        <v>25</v>
      </c>
      <c r="P119" s="9">
        <v>2.0666666669999998</v>
      </c>
      <c r="Q119" s="9">
        <v>0.70373155099999996</v>
      </c>
      <c r="R119" s="9">
        <v>0.18170270499999999</v>
      </c>
      <c r="S119" s="33">
        <v>50</v>
      </c>
      <c r="T119" s="14">
        <v>1.8333333333333299</v>
      </c>
      <c r="U119" s="8">
        <v>0.64771925236560401</v>
      </c>
      <c r="V119" s="8">
        <v>0.118256815150341</v>
      </c>
      <c r="W119" s="35">
        <v>2.1944444444444444E-2</v>
      </c>
      <c r="X119" s="30">
        <v>25.800000000000011</v>
      </c>
    </row>
    <row r="120" spans="1:24">
      <c r="A120" s="13">
        <v>115</v>
      </c>
      <c r="B120" s="4" t="s">
        <v>60</v>
      </c>
      <c r="C120" s="36">
        <v>0</v>
      </c>
      <c r="D120" s="37">
        <v>3</v>
      </c>
      <c r="E120" s="37">
        <v>5</v>
      </c>
      <c r="F120" s="37">
        <v>12</v>
      </c>
      <c r="G120" s="12">
        <v>189.13</v>
      </c>
      <c r="H120" s="12">
        <v>226.96</v>
      </c>
      <c r="I120" s="12">
        <v>252.17</v>
      </c>
      <c r="J120" s="12">
        <v>378.26</v>
      </c>
      <c r="K120" s="34">
        <v>18</v>
      </c>
      <c r="L120" s="8">
        <v>2.4666666666666699</v>
      </c>
      <c r="M120" s="8">
        <v>0.83380938783279201</v>
      </c>
      <c r="N120" s="8">
        <v>0.21528865819918699</v>
      </c>
      <c r="O120" s="36">
        <v>16</v>
      </c>
      <c r="P120" s="9">
        <v>2.6666666669999999</v>
      </c>
      <c r="Q120" s="9">
        <v>0.48795003599999998</v>
      </c>
      <c r="R120" s="9">
        <v>0.12598815799999999</v>
      </c>
      <c r="S120" s="33">
        <v>28</v>
      </c>
      <c r="T120" s="14">
        <v>2.56666666666667</v>
      </c>
      <c r="U120" s="8">
        <v>0.67891055392436295</v>
      </c>
      <c r="V120" s="8">
        <v>0.123951541637567</v>
      </c>
      <c r="W120" s="35">
        <v>0.14444444444444443</v>
      </c>
      <c r="X120" s="30">
        <v>25.20999999999998</v>
      </c>
    </row>
    <row r="121" spans="1:24">
      <c r="A121" s="16">
        <v>116</v>
      </c>
      <c r="B121" s="4" t="s">
        <v>43</v>
      </c>
      <c r="C121" s="38">
        <v>0</v>
      </c>
      <c r="D121" s="31">
        <v>3</v>
      </c>
      <c r="E121" s="31">
        <v>6</v>
      </c>
      <c r="F121" s="31">
        <v>7</v>
      </c>
      <c r="G121" s="7">
        <v>205.2</v>
      </c>
      <c r="H121" s="7">
        <v>246.24</v>
      </c>
      <c r="I121" s="7">
        <v>287.27999999999997</v>
      </c>
      <c r="J121" s="7">
        <v>307.8</v>
      </c>
      <c r="K121" s="38">
        <v>30</v>
      </c>
      <c r="L121" s="8">
        <v>1.6666666666666701</v>
      </c>
      <c r="M121" s="8">
        <v>0.48795003647426699</v>
      </c>
      <c r="N121" s="8">
        <v>0.125988157669742</v>
      </c>
      <c r="O121" s="38">
        <v>20</v>
      </c>
      <c r="P121" s="9">
        <v>2.4</v>
      </c>
      <c r="Q121" s="9">
        <v>0.82807867099999999</v>
      </c>
      <c r="R121" s="9">
        <v>0.213808994</v>
      </c>
      <c r="S121" s="33">
        <v>44</v>
      </c>
      <c r="T121" s="14">
        <v>2.0333333333333301</v>
      </c>
      <c r="U121" s="8">
        <v>0.76489049625705796</v>
      </c>
      <c r="V121" s="8">
        <v>0.139649259607104</v>
      </c>
      <c r="W121" s="35">
        <v>0.24761904761904763</v>
      </c>
      <c r="X121" s="30">
        <v>20.520000000000039</v>
      </c>
    </row>
    <row r="122" spans="1:24">
      <c r="A122" s="17">
        <v>117</v>
      </c>
      <c r="B122" s="4"/>
      <c r="C122" s="39">
        <v>0</v>
      </c>
      <c r="D122" s="37">
        <v>3</v>
      </c>
      <c r="E122" s="37">
        <v>6</v>
      </c>
      <c r="F122" s="37">
        <v>8</v>
      </c>
      <c r="G122" s="12">
        <v>201.25</v>
      </c>
      <c r="H122" s="12">
        <v>241.5</v>
      </c>
      <c r="I122" s="12">
        <v>281.76</v>
      </c>
      <c r="J122" s="12">
        <v>322.01</v>
      </c>
      <c r="K122" s="39">
        <v>7</v>
      </c>
      <c r="L122" s="8">
        <v>3.2666666666666702</v>
      </c>
      <c r="M122" s="8">
        <v>0.70373155054899705</v>
      </c>
      <c r="N122" s="8">
        <v>0.181702705031799</v>
      </c>
      <c r="O122" s="39">
        <v>15</v>
      </c>
      <c r="P122" s="9">
        <v>2.733333333</v>
      </c>
      <c r="Q122" s="9">
        <v>0.88371510200000003</v>
      </c>
      <c r="R122" s="9">
        <v>0.22817425799999999</v>
      </c>
      <c r="S122" s="33">
        <v>16</v>
      </c>
      <c r="T122" s="14">
        <v>3</v>
      </c>
      <c r="U122" s="8">
        <v>0.83045479853740001</v>
      </c>
      <c r="V122" s="8">
        <v>0.15161960871578101</v>
      </c>
      <c r="W122" s="35">
        <v>0.48571428571428571</v>
      </c>
      <c r="X122" s="30">
        <v>40.25</v>
      </c>
    </row>
    <row r="123" spans="1:24">
      <c r="A123" s="18">
        <v>118</v>
      </c>
      <c r="B123" s="4" t="s">
        <v>12</v>
      </c>
      <c r="C123" s="38">
        <v>0</v>
      </c>
      <c r="D123" s="31">
        <v>3</v>
      </c>
      <c r="E123" s="31">
        <v>6</v>
      </c>
      <c r="F123" s="31">
        <v>9</v>
      </c>
      <c r="G123" s="7">
        <v>198.71</v>
      </c>
      <c r="H123" s="7">
        <v>238.45</v>
      </c>
      <c r="I123" s="7">
        <v>278.19</v>
      </c>
      <c r="J123" s="7">
        <v>331.18</v>
      </c>
      <c r="K123" s="31">
        <v>29</v>
      </c>
      <c r="L123" s="8">
        <v>1.7333333333333301</v>
      </c>
      <c r="M123" s="8">
        <v>0.59361683970466395</v>
      </c>
      <c r="N123" s="8">
        <v>0.153271208946963</v>
      </c>
      <c r="O123" s="38">
        <v>30</v>
      </c>
      <c r="P123" s="9">
        <v>1.733333333</v>
      </c>
      <c r="Q123" s="9">
        <v>0.70373155099999996</v>
      </c>
      <c r="R123" s="9">
        <v>0.18170270499999999</v>
      </c>
      <c r="S123" s="33">
        <v>53</v>
      </c>
      <c r="T123" s="14">
        <v>1.7333333333333301</v>
      </c>
      <c r="U123" s="8">
        <v>0.63968382994949202</v>
      </c>
      <c r="V123" s="8">
        <v>0.116789754444879</v>
      </c>
      <c r="W123" s="35">
        <v>0.16952380952380952</v>
      </c>
      <c r="X123" s="30">
        <v>39.739999999999981</v>
      </c>
    </row>
    <row r="124" spans="1:24">
      <c r="A124" s="18">
        <v>119</v>
      </c>
      <c r="B124" s="4" t="s">
        <v>95</v>
      </c>
      <c r="C124" s="38">
        <v>0</v>
      </c>
      <c r="D124" s="31">
        <v>3</v>
      </c>
      <c r="E124" s="31">
        <v>6</v>
      </c>
      <c r="F124" s="31">
        <v>10</v>
      </c>
      <c r="G124" s="7">
        <v>193.8</v>
      </c>
      <c r="H124" s="7">
        <v>232.56</v>
      </c>
      <c r="I124" s="7">
        <v>271.32</v>
      </c>
      <c r="J124" s="7">
        <v>348.84</v>
      </c>
      <c r="K124" s="31">
        <v>16</v>
      </c>
      <c r="L124" s="8">
        <v>2.6</v>
      </c>
      <c r="M124" s="8">
        <v>0.82807867121082501</v>
      </c>
      <c r="N124" s="8">
        <v>0.21380899352994001</v>
      </c>
      <c r="O124" s="38">
        <v>17</v>
      </c>
      <c r="P124" s="9">
        <v>2.6</v>
      </c>
      <c r="Q124" s="9">
        <v>1.055597326</v>
      </c>
      <c r="R124" s="9">
        <v>0.27255405799999999</v>
      </c>
      <c r="S124" s="33">
        <v>27</v>
      </c>
      <c r="T124" s="14">
        <v>2.6</v>
      </c>
      <c r="U124" s="8">
        <v>0.93218319939879801</v>
      </c>
      <c r="V124" s="8">
        <v>0.170192588679353</v>
      </c>
      <c r="W124" s="35">
        <v>0.46666666666666667</v>
      </c>
      <c r="X124" s="30">
        <v>38.759999999999991</v>
      </c>
    </row>
    <row r="125" spans="1:24">
      <c r="A125" s="18">
        <v>120</v>
      </c>
      <c r="B125" s="4" t="s">
        <v>46</v>
      </c>
      <c r="C125" s="38">
        <v>0</v>
      </c>
      <c r="D125" s="31">
        <v>3</v>
      </c>
      <c r="E125" s="31">
        <v>6</v>
      </c>
      <c r="F125" s="31">
        <v>11</v>
      </c>
      <c r="G125" s="7">
        <v>191.15</v>
      </c>
      <c r="H125" s="7">
        <v>229.37</v>
      </c>
      <c r="I125" s="7">
        <v>267.60000000000002</v>
      </c>
      <c r="J125" s="7">
        <v>358.4</v>
      </c>
      <c r="K125" s="31">
        <v>29</v>
      </c>
      <c r="L125" s="8">
        <v>1.7333333333333301</v>
      </c>
      <c r="M125" s="8">
        <v>0.59361683970466395</v>
      </c>
      <c r="N125" s="8">
        <v>0.153271208946963</v>
      </c>
      <c r="O125" s="38">
        <v>26</v>
      </c>
      <c r="P125" s="9">
        <v>2</v>
      </c>
      <c r="Q125" s="9">
        <v>0.65465367100000005</v>
      </c>
      <c r="R125" s="9">
        <v>0.16903085100000001</v>
      </c>
      <c r="S125" s="33">
        <v>49</v>
      </c>
      <c r="T125" s="14">
        <v>1.86666666666667</v>
      </c>
      <c r="U125" s="8">
        <v>0.62881022482985705</v>
      </c>
      <c r="V125" s="8">
        <v>0.114804514843069</v>
      </c>
      <c r="W125" s="35">
        <v>6.5238095238095234E-2</v>
      </c>
      <c r="X125" s="30">
        <v>38.22</v>
      </c>
    </row>
    <row r="126" spans="1:24">
      <c r="A126" s="16">
        <v>121</v>
      </c>
      <c r="B126" s="4" t="s">
        <v>96</v>
      </c>
      <c r="C126" s="38">
        <v>0</v>
      </c>
      <c r="D126" s="31">
        <v>3</v>
      </c>
      <c r="E126" s="31">
        <v>6</v>
      </c>
      <c r="F126" s="31">
        <v>12</v>
      </c>
      <c r="G126" s="7">
        <v>186.88</v>
      </c>
      <c r="H126" s="7">
        <v>224.25</v>
      </c>
      <c r="I126" s="7">
        <v>261.63</v>
      </c>
      <c r="J126" s="7">
        <v>373.76</v>
      </c>
      <c r="K126" s="38">
        <v>16</v>
      </c>
      <c r="L126" s="8">
        <v>2.6</v>
      </c>
      <c r="M126" s="8">
        <v>0.98561076060916197</v>
      </c>
      <c r="N126" s="8">
        <v>0.25448360411214099</v>
      </c>
      <c r="O126" s="38">
        <v>9</v>
      </c>
      <c r="P126" s="9">
        <v>3.1333333329999999</v>
      </c>
      <c r="Q126" s="9">
        <v>0.83380938800000004</v>
      </c>
      <c r="R126" s="9">
        <v>0.21528865799999999</v>
      </c>
      <c r="S126" s="33">
        <v>20</v>
      </c>
      <c r="T126" s="14">
        <v>2.8666666666666698</v>
      </c>
      <c r="U126" s="8">
        <v>0.93710240611164197</v>
      </c>
      <c r="V126" s="8">
        <v>0.17109070883990499</v>
      </c>
      <c r="W126" s="35">
        <v>0.42857142857142855</v>
      </c>
      <c r="X126" s="30">
        <v>37.370000000000005</v>
      </c>
    </row>
    <row r="127" spans="1:24">
      <c r="A127" s="16">
        <v>122</v>
      </c>
      <c r="B127" s="4" t="s">
        <v>56</v>
      </c>
      <c r="C127" s="38">
        <v>0</v>
      </c>
      <c r="D127" s="31">
        <v>3</v>
      </c>
      <c r="E127" s="31">
        <v>7</v>
      </c>
      <c r="F127" s="31">
        <v>8</v>
      </c>
      <c r="G127" s="7">
        <v>197.46</v>
      </c>
      <c r="H127" s="7">
        <v>236.95</v>
      </c>
      <c r="I127" s="7">
        <v>296.18</v>
      </c>
      <c r="J127" s="7">
        <v>315.93</v>
      </c>
      <c r="K127" s="38">
        <v>16</v>
      </c>
      <c r="L127" s="8">
        <v>2.6</v>
      </c>
      <c r="M127" s="8">
        <v>0.91025898983279996</v>
      </c>
      <c r="N127" s="8">
        <v>0.23502786055720101</v>
      </c>
      <c r="O127" s="38">
        <v>11</v>
      </c>
      <c r="P127" s="9">
        <v>3</v>
      </c>
      <c r="Q127" s="9">
        <v>0.84515425499999997</v>
      </c>
      <c r="R127" s="9">
        <v>0.21821789</v>
      </c>
      <c r="S127" s="33">
        <v>22</v>
      </c>
      <c r="T127" s="14">
        <v>2.8</v>
      </c>
      <c r="U127" s="8">
        <v>0.88668308687587105</v>
      </c>
      <c r="V127" s="8">
        <v>0.16188544268007601</v>
      </c>
      <c r="W127" s="35">
        <v>0.23333333333333334</v>
      </c>
      <c r="X127" s="30">
        <v>19.75</v>
      </c>
    </row>
    <row r="128" spans="1:24">
      <c r="A128" s="4">
        <v>123</v>
      </c>
      <c r="B128" s="4" t="s">
        <v>52</v>
      </c>
      <c r="C128" s="39">
        <v>0</v>
      </c>
      <c r="D128" s="37">
        <v>3</v>
      </c>
      <c r="E128" s="37">
        <v>7</v>
      </c>
      <c r="F128" s="37">
        <v>9</v>
      </c>
      <c r="G128" s="12">
        <v>195</v>
      </c>
      <c r="H128" s="12">
        <v>234</v>
      </c>
      <c r="I128" s="12">
        <v>292.51</v>
      </c>
      <c r="J128" s="12">
        <v>325.01</v>
      </c>
      <c r="K128" s="37">
        <v>17</v>
      </c>
      <c r="L128" s="8">
        <v>2.5333333333333301</v>
      </c>
      <c r="M128" s="8">
        <v>0.99043040187202502</v>
      </c>
      <c r="N128" s="8">
        <v>0.25572803013519202</v>
      </c>
      <c r="O128" s="39">
        <v>20</v>
      </c>
      <c r="P128" s="9">
        <v>2.4</v>
      </c>
      <c r="Q128" s="9">
        <v>0.73678839799999996</v>
      </c>
      <c r="R128" s="9">
        <v>0.19023794599999999</v>
      </c>
      <c r="S128" s="33">
        <v>31</v>
      </c>
      <c r="T128" s="14">
        <v>2.4666666666666699</v>
      </c>
      <c r="U128" s="8">
        <v>0.86036613430415299</v>
      </c>
      <c r="V128" s="8">
        <v>0.157080646490635</v>
      </c>
      <c r="W128" s="35">
        <v>0.08</v>
      </c>
      <c r="X128" s="30">
        <v>32.5</v>
      </c>
    </row>
    <row r="129" spans="1:24">
      <c r="A129" s="18">
        <v>124</v>
      </c>
      <c r="B129" s="4" t="s">
        <v>15</v>
      </c>
      <c r="C129" s="38">
        <v>0</v>
      </c>
      <c r="D129" s="31">
        <v>3</v>
      </c>
      <c r="E129" s="31">
        <v>7</v>
      </c>
      <c r="F129" s="31">
        <v>10</v>
      </c>
      <c r="G129" s="7">
        <v>190.28</v>
      </c>
      <c r="H129" s="7">
        <v>228.33</v>
      </c>
      <c r="I129" s="7">
        <v>285.41000000000003</v>
      </c>
      <c r="J129" s="7">
        <v>342.5</v>
      </c>
      <c r="K129" s="31">
        <v>8</v>
      </c>
      <c r="L129" s="8">
        <v>3.2</v>
      </c>
      <c r="M129" s="8">
        <v>0.77459666924148296</v>
      </c>
      <c r="N129" s="8">
        <v>0.2</v>
      </c>
      <c r="O129" s="38">
        <v>12</v>
      </c>
      <c r="P129" s="9">
        <v>2.9333333330000002</v>
      </c>
      <c r="Q129" s="9">
        <v>0.96115010499999998</v>
      </c>
      <c r="R129" s="9">
        <v>0.24816789</v>
      </c>
      <c r="S129" s="33">
        <v>14</v>
      </c>
      <c r="T129" s="14">
        <v>3.06666666666667</v>
      </c>
      <c r="U129" s="8">
        <v>0.86834497091061003</v>
      </c>
      <c r="V129" s="8">
        <v>0.158537376087969</v>
      </c>
      <c r="W129" s="35">
        <v>0.22222222222222221</v>
      </c>
      <c r="X129" s="30">
        <v>38.050000000000011</v>
      </c>
    </row>
    <row r="130" spans="1:24">
      <c r="A130" s="18">
        <v>125</v>
      </c>
      <c r="B130" s="4" t="s">
        <v>47</v>
      </c>
      <c r="C130" s="38">
        <v>0</v>
      </c>
      <c r="D130" s="31">
        <v>3</v>
      </c>
      <c r="E130" s="31">
        <v>7</v>
      </c>
      <c r="F130" s="31">
        <v>11</v>
      </c>
      <c r="G130" s="7">
        <v>187.72</v>
      </c>
      <c r="H130" s="7">
        <v>225.26</v>
      </c>
      <c r="I130" s="7">
        <v>281.57</v>
      </c>
      <c r="J130" s="7">
        <v>351.97</v>
      </c>
      <c r="K130" s="31">
        <v>32</v>
      </c>
      <c r="L130" s="8">
        <v>1.5333333333333301</v>
      </c>
      <c r="M130" s="8">
        <v>0.63994047342218396</v>
      </c>
      <c r="N130" s="8">
        <v>0.16523191974188101</v>
      </c>
      <c r="O130" s="38">
        <v>21</v>
      </c>
      <c r="P130" s="9">
        <v>2.3333333330000001</v>
      </c>
      <c r="Q130" s="9">
        <v>0.61721340000000002</v>
      </c>
      <c r="R130" s="9">
        <v>0.15936381499999999</v>
      </c>
      <c r="S130" s="33">
        <v>47</v>
      </c>
      <c r="T130" s="14">
        <v>1.93333333333333</v>
      </c>
      <c r="U130" s="8">
        <v>0.73967995564406697</v>
      </c>
      <c r="V130" s="8">
        <v>0.13504646568022499</v>
      </c>
      <c r="W130" s="35">
        <v>0.06</v>
      </c>
      <c r="X130" s="30">
        <v>37.539999999999992</v>
      </c>
    </row>
    <row r="131" spans="1:24">
      <c r="A131" s="16">
        <v>126</v>
      </c>
      <c r="B131" s="4" t="s">
        <v>57</v>
      </c>
      <c r="C131" s="38">
        <v>0</v>
      </c>
      <c r="D131" s="31">
        <v>3</v>
      </c>
      <c r="E131" s="31">
        <v>7</v>
      </c>
      <c r="F131" s="31">
        <v>12</v>
      </c>
      <c r="G131" s="7">
        <v>183.6</v>
      </c>
      <c r="H131" s="7">
        <v>220.32</v>
      </c>
      <c r="I131" s="7">
        <v>275.39999999999998</v>
      </c>
      <c r="J131" s="7">
        <v>367.2</v>
      </c>
      <c r="K131" s="38">
        <v>7</v>
      </c>
      <c r="L131" s="8">
        <v>3.2666666666666702</v>
      </c>
      <c r="M131" s="8">
        <v>0.79880863671797997</v>
      </c>
      <c r="N131" s="8">
        <v>0.206251503121026</v>
      </c>
      <c r="O131" s="38">
        <v>2</v>
      </c>
      <c r="P131" s="9">
        <v>3.6666666669999999</v>
      </c>
      <c r="Q131" s="9">
        <v>0.48795003599999998</v>
      </c>
      <c r="R131" s="9">
        <v>0.12598815799999999</v>
      </c>
      <c r="S131" s="33">
        <v>6</v>
      </c>
      <c r="T131" s="14">
        <v>3.4666666666666699</v>
      </c>
      <c r="U131" s="8">
        <v>0.68144538746105998</v>
      </c>
      <c r="V131" s="8">
        <v>0.12441433680675699</v>
      </c>
      <c r="W131" s="35">
        <v>0.2</v>
      </c>
      <c r="X131" s="30">
        <v>36.72</v>
      </c>
    </row>
    <row r="132" spans="1:24">
      <c r="A132" s="17">
        <v>127</v>
      </c>
      <c r="B132" s="4"/>
      <c r="C132" s="39">
        <v>0</v>
      </c>
      <c r="D132" s="37">
        <v>3</v>
      </c>
      <c r="E132" s="37">
        <v>8</v>
      </c>
      <c r="F132" s="37">
        <v>9</v>
      </c>
      <c r="G132" s="12">
        <v>191.44</v>
      </c>
      <c r="H132" s="12">
        <v>229.72</v>
      </c>
      <c r="I132" s="12">
        <v>306.3</v>
      </c>
      <c r="J132" s="12">
        <v>319.06</v>
      </c>
      <c r="K132" s="39">
        <v>35</v>
      </c>
      <c r="L132" s="8">
        <v>1.3333333333333299</v>
      </c>
      <c r="M132" s="8">
        <v>0.48795003647426699</v>
      </c>
      <c r="N132" s="8">
        <v>0.125988157669742</v>
      </c>
      <c r="O132" s="39">
        <v>25</v>
      </c>
      <c r="P132" s="9">
        <v>2.0666666669999998</v>
      </c>
      <c r="Q132" s="9">
        <v>0.79880863700000004</v>
      </c>
      <c r="R132" s="9">
        <v>0.206251503</v>
      </c>
      <c r="S132" s="33">
        <v>54</v>
      </c>
      <c r="T132" s="14">
        <v>1.7</v>
      </c>
      <c r="U132" s="8">
        <v>0.74971258860795498</v>
      </c>
      <c r="V132" s="8">
        <v>0.136878165475389</v>
      </c>
      <c r="W132" s="35">
        <v>0.16</v>
      </c>
      <c r="X132" s="30">
        <v>12.759999999999991</v>
      </c>
    </row>
    <row r="133" spans="1:24">
      <c r="A133" s="18">
        <v>128</v>
      </c>
      <c r="B133" s="4"/>
      <c r="C133" s="38">
        <v>0</v>
      </c>
      <c r="D133" s="31">
        <v>3</v>
      </c>
      <c r="E133" s="31">
        <v>8</v>
      </c>
      <c r="F133" s="31">
        <v>10</v>
      </c>
      <c r="G133" s="7">
        <v>186.88</v>
      </c>
      <c r="H133" s="7">
        <v>224.25</v>
      </c>
      <c r="I133" s="7">
        <v>299.01</v>
      </c>
      <c r="J133" s="7">
        <v>336.38</v>
      </c>
      <c r="K133" s="31">
        <v>6</v>
      </c>
      <c r="L133" s="8">
        <v>3.3333333333333299</v>
      </c>
      <c r="M133" s="8">
        <v>0.61721339984836798</v>
      </c>
      <c r="N133" s="8">
        <v>0.15936381457791901</v>
      </c>
      <c r="O133" s="38">
        <v>10</v>
      </c>
      <c r="P133" s="9">
        <v>3.0666666669999998</v>
      </c>
      <c r="Q133" s="9">
        <v>0.88371510200000003</v>
      </c>
      <c r="R133" s="9">
        <v>0.22817425799999999</v>
      </c>
      <c r="S133" s="33">
        <v>11</v>
      </c>
      <c r="T133" s="14">
        <v>3.2</v>
      </c>
      <c r="U133" s="8">
        <v>0.76112439510738705</v>
      </c>
      <c r="V133" s="8">
        <v>0.13896166675593</v>
      </c>
      <c r="W133" s="35">
        <v>0.44444444444444442</v>
      </c>
      <c r="X133" s="30">
        <v>37.370000000000005</v>
      </c>
    </row>
    <row r="134" spans="1:24">
      <c r="A134" s="16">
        <v>129</v>
      </c>
      <c r="B134" s="4"/>
      <c r="C134" s="38">
        <v>0</v>
      </c>
      <c r="D134" s="31">
        <v>3</v>
      </c>
      <c r="E134" s="31">
        <v>8</v>
      </c>
      <c r="F134" s="31">
        <v>11</v>
      </c>
      <c r="G134" s="7">
        <v>184.41</v>
      </c>
      <c r="H134" s="7">
        <v>221.29</v>
      </c>
      <c r="I134" s="7">
        <v>295.05</v>
      </c>
      <c r="J134" s="7">
        <v>345.77</v>
      </c>
      <c r="K134" s="38">
        <v>24</v>
      </c>
      <c r="L134" s="8">
        <v>2.06666666666667</v>
      </c>
      <c r="M134" s="8">
        <v>0.59361683970466395</v>
      </c>
      <c r="N134" s="8">
        <v>0.153271208946963</v>
      </c>
      <c r="O134" s="38">
        <v>16</v>
      </c>
      <c r="P134" s="9">
        <v>2.6666666669999999</v>
      </c>
      <c r="Q134" s="9">
        <v>0.816496581</v>
      </c>
      <c r="R134" s="9">
        <v>0.21081851099999999</v>
      </c>
      <c r="S134" s="33">
        <v>34</v>
      </c>
      <c r="T134" s="14">
        <v>2.3666666666666698</v>
      </c>
      <c r="U134" s="8">
        <v>0.76489049625705796</v>
      </c>
      <c r="V134" s="8">
        <v>0.139649259607104</v>
      </c>
      <c r="W134" s="35">
        <v>6.1666666666666668E-2</v>
      </c>
      <c r="X134" s="30">
        <v>36.879999999999995</v>
      </c>
    </row>
    <row r="135" spans="1:24">
      <c r="A135" s="16">
        <v>130</v>
      </c>
      <c r="B135" s="4"/>
      <c r="C135" s="38">
        <v>0</v>
      </c>
      <c r="D135" s="31">
        <v>3</v>
      </c>
      <c r="E135" s="31">
        <v>8</v>
      </c>
      <c r="F135" s="31">
        <v>12</v>
      </c>
      <c r="G135" s="7">
        <v>180.43</v>
      </c>
      <c r="H135" s="7">
        <v>216.52</v>
      </c>
      <c r="I135" s="7">
        <v>288.7</v>
      </c>
      <c r="J135" s="7">
        <v>360.87</v>
      </c>
      <c r="K135" s="38">
        <v>3</v>
      </c>
      <c r="L135" s="8">
        <v>3.8</v>
      </c>
      <c r="M135" s="8">
        <v>0.41403933560541301</v>
      </c>
      <c r="N135" s="8">
        <v>0.10690449676497001</v>
      </c>
      <c r="O135" s="31">
        <v>1</v>
      </c>
      <c r="P135" s="9">
        <v>3.733333333</v>
      </c>
      <c r="Q135" s="9">
        <v>0.59361684000000003</v>
      </c>
      <c r="R135" s="9">
        <v>0.15327120899999999</v>
      </c>
      <c r="S135" s="33">
        <v>3</v>
      </c>
      <c r="T135" s="14">
        <v>3.7666666666666702</v>
      </c>
      <c r="U135" s="8">
        <v>0.504006932993731</v>
      </c>
      <c r="V135" s="8">
        <v>9.2018655446553702E-2</v>
      </c>
      <c r="W135" s="35">
        <v>0.4</v>
      </c>
      <c r="X135" s="30">
        <v>36.090000000000003</v>
      </c>
    </row>
    <row r="136" spans="1:24">
      <c r="A136" s="15">
        <v>131</v>
      </c>
      <c r="B136" s="4"/>
      <c r="C136" s="32">
        <v>0</v>
      </c>
      <c r="D136" s="31">
        <v>3</v>
      </c>
      <c r="E136" s="31">
        <v>9</v>
      </c>
      <c r="F136" s="31">
        <v>10</v>
      </c>
      <c r="G136" s="7">
        <v>184.68</v>
      </c>
      <c r="H136" s="7">
        <v>221.62</v>
      </c>
      <c r="I136" s="7">
        <v>307.8</v>
      </c>
      <c r="J136" s="7">
        <v>332.42</v>
      </c>
      <c r="K136" s="40">
        <v>33</v>
      </c>
      <c r="L136" s="8">
        <v>1.4666666666666699</v>
      </c>
      <c r="M136" s="8">
        <v>0.51639777949432197</v>
      </c>
      <c r="N136" s="8">
        <v>0.133333333333333</v>
      </c>
      <c r="O136" s="31">
        <v>26</v>
      </c>
      <c r="P136" s="9">
        <v>2</v>
      </c>
      <c r="Q136" s="9">
        <v>0.75592894600000005</v>
      </c>
      <c r="R136" s="9">
        <v>0.19518001500000001</v>
      </c>
      <c r="S136" s="33">
        <v>53</v>
      </c>
      <c r="T136" s="14">
        <v>1.7333333333333301</v>
      </c>
      <c r="U136" s="8">
        <v>0.691491807283521</v>
      </c>
      <c r="V136" s="8">
        <v>0.12624855372640001</v>
      </c>
      <c r="W136" s="35">
        <v>0.15259259259259259</v>
      </c>
      <c r="X136" s="30">
        <v>24.620000000000005</v>
      </c>
    </row>
    <row r="137" spans="1:24">
      <c r="A137" s="15">
        <v>132</v>
      </c>
      <c r="B137" s="4"/>
      <c r="C137" s="32">
        <v>0</v>
      </c>
      <c r="D137" s="31">
        <v>3</v>
      </c>
      <c r="E137" s="31">
        <v>9</v>
      </c>
      <c r="F137" s="31">
        <v>11</v>
      </c>
      <c r="G137" s="7">
        <v>182.27</v>
      </c>
      <c r="H137" s="7">
        <v>218.72</v>
      </c>
      <c r="I137" s="7">
        <v>303.77999999999997</v>
      </c>
      <c r="J137" s="7">
        <v>341.75</v>
      </c>
      <c r="K137" s="40">
        <v>28</v>
      </c>
      <c r="L137" s="8">
        <v>1.8</v>
      </c>
      <c r="M137" s="8">
        <v>0.56061191058138804</v>
      </c>
      <c r="N137" s="8">
        <v>0.144749372891149</v>
      </c>
      <c r="O137" s="38">
        <v>22</v>
      </c>
      <c r="P137" s="9">
        <v>2.266666667</v>
      </c>
      <c r="Q137" s="9">
        <v>0.70373155099999996</v>
      </c>
      <c r="R137" s="9">
        <v>0.18170270499999999</v>
      </c>
      <c r="S137" s="33">
        <v>44</v>
      </c>
      <c r="T137" s="14">
        <v>2.0333333333333301</v>
      </c>
      <c r="U137" s="8">
        <v>0.66867513545937196</v>
      </c>
      <c r="V137" s="8">
        <v>0.12208281844464</v>
      </c>
      <c r="W137" s="35">
        <v>2.1111111111111112E-2</v>
      </c>
      <c r="X137" s="30">
        <v>36.449999999999989</v>
      </c>
    </row>
    <row r="138" spans="1:24">
      <c r="A138" s="15">
        <v>133</v>
      </c>
      <c r="B138" s="4"/>
      <c r="C138" s="32">
        <v>0</v>
      </c>
      <c r="D138" s="31">
        <v>3</v>
      </c>
      <c r="E138" s="31">
        <v>9</v>
      </c>
      <c r="F138" s="31">
        <v>12</v>
      </c>
      <c r="G138" s="7">
        <v>178.38</v>
      </c>
      <c r="H138" s="7">
        <v>214.06</v>
      </c>
      <c r="I138" s="7">
        <v>297.31</v>
      </c>
      <c r="J138" s="7">
        <v>356.77</v>
      </c>
      <c r="K138" s="40">
        <v>21</v>
      </c>
      <c r="L138" s="8">
        <v>2.2666666666666702</v>
      </c>
      <c r="M138" s="8">
        <v>0.79880863671797997</v>
      </c>
      <c r="N138" s="8">
        <v>0.206251503121026</v>
      </c>
      <c r="O138" s="38">
        <v>17</v>
      </c>
      <c r="P138" s="9">
        <v>2.6</v>
      </c>
      <c r="Q138" s="9">
        <v>0.82807867099999999</v>
      </c>
      <c r="R138" s="9">
        <v>0.213808994</v>
      </c>
      <c r="S138" s="33">
        <v>32</v>
      </c>
      <c r="T138" s="14">
        <v>2.43333333333333</v>
      </c>
      <c r="U138" s="8">
        <v>0.81720015415687697</v>
      </c>
      <c r="V138" s="8">
        <v>0.149199652809474</v>
      </c>
      <c r="W138" s="35">
        <v>0.13777777777777778</v>
      </c>
      <c r="X138" s="30">
        <v>35.680000000000007</v>
      </c>
    </row>
    <row r="139" spans="1:24">
      <c r="A139" s="15">
        <v>134</v>
      </c>
      <c r="B139" s="4"/>
      <c r="C139" s="32">
        <v>0</v>
      </c>
      <c r="D139" s="31">
        <v>3</v>
      </c>
      <c r="E139" s="31">
        <v>10</v>
      </c>
      <c r="F139" s="31">
        <v>11</v>
      </c>
      <c r="G139" s="7">
        <v>178.13</v>
      </c>
      <c r="H139" s="7">
        <v>213.76</v>
      </c>
      <c r="I139" s="7">
        <v>320.64</v>
      </c>
      <c r="J139" s="7">
        <v>334</v>
      </c>
      <c r="K139" s="40">
        <v>35</v>
      </c>
      <c r="L139" s="8">
        <v>1.3333333333333299</v>
      </c>
      <c r="M139" s="8">
        <v>0.48795003647426699</v>
      </c>
      <c r="N139" s="8">
        <v>0.125988157669742</v>
      </c>
      <c r="O139" s="38">
        <v>31</v>
      </c>
      <c r="P139" s="9">
        <v>1.6666666670000001</v>
      </c>
      <c r="Q139" s="9">
        <v>0.61721340000000002</v>
      </c>
      <c r="R139" s="9">
        <v>0.15936381499999999</v>
      </c>
      <c r="S139" s="33">
        <v>60</v>
      </c>
      <c r="T139" s="14">
        <v>1.5</v>
      </c>
      <c r="U139" s="8">
        <v>0.572351471472339</v>
      </c>
      <c r="V139" s="8">
        <v>0.104496603915558</v>
      </c>
      <c r="W139" s="35">
        <v>5.8888888888888886E-2</v>
      </c>
      <c r="X139" s="30">
        <v>13.360000000000014</v>
      </c>
    </row>
    <row r="140" spans="1:24">
      <c r="A140" s="15">
        <v>135</v>
      </c>
      <c r="B140" s="4"/>
      <c r="C140" s="32">
        <v>0</v>
      </c>
      <c r="D140" s="31">
        <v>3</v>
      </c>
      <c r="E140" s="31">
        <v>10</v>
      </c>
      <c r="F140" s="31">
        <v>12</v>
      </c>
      <c r="G140" s="7">
        <v>174.42</v>
      </c>
      <c r="H140" s="7">
        <v>209.3</v>
      </c>
      <c r="I140" s="7">
        <v>313.95999999999998</v>
      </c>
      <c r="J140" s="7">
        <v>348.84</v>
      </c>
      <c r="K140" s="40">
        <v>9</v>
      </c>
      <c r="L140" s="8">
        <v>3.06666666666667</v>
      </c>
      <c r="M140" s="8">
        <v>0.59361683970466395</v>
      </c>
      <c r="N140" s="8">
        <v>0.153271208946963</v>
      </c>
      <c r="O140" s="38">
        <v>9</v>
      </c>
      <c r="P140" s="9">
        <v>3.1333333329999999</v>
      </c>
      <c r="Q140" s="9">
        <v>0.63994047300000001</v>
      </c>
      <c r="R140" s="9">
        <v>0.16523192</v>
      </c>
      <c r="S140" s="33">
        <v>13</v>
      </c>
      <c r="T140" s="14">
        <v>3.1</v>
      </c>
      <c r="U140" s="8">
        <v>0.60742531824198698</v>
      </c>
      <c r="V140" s="8">
        <v>0.11090018293363001</v>
      </c>
      <c r="W140" s="35">
        <v>0.37777777777777777</v>
      </c>
      <c r="X140" s="30">
        <v>34.879999999999995</v>
      </c>
    </row>
    <row r="141" spans="1:24">
      <c r="A141" s="15">
        <v>136</v>
      </c>
      <c r="B141" s="4"/>
      <c r="C141" s="32">
        <v>0</v>
      </c>
      <c r="D141" s="31">
        <v>3</v>
      </c>
      <c r="E141" s="31">
        <v>11</v>
      </c>
      <c r="F141" s="31">
        <v>12</v>
      </c>
      <c r="G141" s="7">
        <v>172.27</v>
      </c>
      <c r="H141" s="7">
        <v>206.72</v>
      </c>
      <c r="I141" s="7">
        <v>323</v>
      </c>
      <c r="J141" s="7">
        <v>344.53</v>
      </c>
      <c r="K141" s="40">
        <v>32</v>
      </c>
      <c r="L141" s="8">
        <v>1.5333333333333301</v>
      </c>
      <c r="M141" s="8">
        <v>0.51639777949432197</v>
      </c>
      <c r="N141" s="8">
        <v>0.133333333333333</v>
      </c>
      <c r="O141" s="38">
        <v>26</v>
      </c>
      <c r="P141" s="9">
        <v>2</v>
      </c>
      <c r="Q141" s="9">
        <v>0.65465367100000005</v>
      </c>
      <c r="R141" s="9">
        <v>0.16903085100000001</v>
      </c>
      <c r="S141" s="33">
        <v>52</v>
      </c>
      <c r="T141" s="14">
        <v>1.7666666666666699</v>
      </c>
      <c r="U141" s="8">
        <v>0.62606231557929304</v>
      </c>
      <c r="V141" s="8">
        <v>0.114302817548899</v>
      </c>
      <c r="W141" s="35">
        <v>5.3333333333333337E-2</v>
      </c>
      <c r="X141" s="30">
        <v>21.529999999999973</v>
      </c>
    </row>
    <row r="142" spans="1:24">
      <c r="A142" s="15">
        <v>137</v>
      </c>
      <c r="B142" s="4"/>
      <c r="C142" s="32">
        <v>0</v>
      </c>
      <c r="D142" s="31">
        <v>4</v>
      </c>
      <c r="E142" s="31">
        <v>5</v>
      </c>
      <c r="F142" s="31">
        <v>6</v>
      </c>
      <c r="G142" s="7">
        <v>210</v>
      </c>
      <c r="H142" s="7">
        <v>262.51</v>
      </c>
      <c r="I142" s="7">
        <v>280.01</v>
      </c>
      <c r="J142" s="7">
        <v>294.01</v>
      </c>
      <c r="K142" s="40">
        <v>34</v>
      </c>
      <c r="L142" s="8">
        <v>1.4</v>
      </c>
      <c r="M142" s="8">
        <v>0.50709255283710997</v>
      </c>
      <c r="N142" s="8">
        <v>0.13093073414159501</v>
      </c>
      <c r="O142" s="38">
        <v>28</v>
      </c>
      <c r="P142" s="9">
        <v>1.8666666670000001</v>
      </c>
      <c r="Q142" s="9">
        <v>0.83380938800000004</v>
      </c>
      <c r="R142" s="9">
        <v>0.21528865799999999</v>
      </c>
      <c r="S142" s="33">
        <v>56</v>
      </c>
      <c r="T142" s="14">
        <v>1.63333333333333</v>
      </c>
      <c r="U142" s="8">
        <v>0.71839540228413801</v>
      </c>
      <c r="V142" s="8">
        <v>0.13116045567967399</v>
      </c>
      <c r="W142" s="35">
        <v>4.4523809523809521E-2</v>
      </c>
      <c r="X142" s="30">
        <v>14</v>
      </c>
    </row>
    <row r="143" spans="1:24">
      <c r="A143" s="13">
        <v>138</v>
      </c>
      <c r="B143" s="4" t="s">
        <v>42</v>
      </c>
      <c r="C143" s="36">
        <v>0</v>
      </c>
      <c r="D143" s="37">
        <v>4</v>
      </c>
      <c r="E143" s="37">
        <v>5</v>
      </c>
      <c r="F143" s="37">
        <v>7</v>
      </c>
      <c r="G143" s="12">
        <v>205.87</v>
      </c>
      <c r="H143" s="12">
        <v>257.33999999999997</v>
      </c>
      <c r="I143" s="12">
        <v>274.5</v>
      </c>
      <c r="J143" s="12">
        <v>308.81</v>
      </c>
      <c r="K143" s="34">
        <v>16</v>
      </c>
      <c r="L143" s="8">
        <v>2.6</v>
      </c>
      <c r="M143" s="8">
        <v>0.91025898983279996</v>
      </c>
      <c r="N143" s="8">
        <v>0.23502786055720101</v>
      </c>
      <c r="O143" s="39">
        <v>11</v>
      </c>
      <c r="P143" s="9">
        <v>3</v>
      </c>
      <c r="Q143" s="9">
        <v>0.65465367100000005</v>
      </c>
      <c r="R143" s="9">
        <v>0.16903085100000001</v>
      </c>
      <c r="S143" s="33">
        <v>22</v>
      </c>
      <c r="T143" s="14">
        <v>2.8</v>
      </c>
      <c r="U143" s="8">
        <v>0.80515579987289798</v>
      </c>
      <c r="V143" s="8">
        <v>0.14700066463216699</v>
      </c>
      <c r="W143" s="35">
        <v>0.19722222222222222</v>
      </c>
      <c r="X143" s="30">
        <v>17.160000000000025</v>
      </c>
    </row>
    <row r="144" spans="1:24">
      <c r="A144" s="15">
        <v>139</v>
      </c>
      <c r="B144" s="4"/>
      <c r="C144" s="32">
        <v>0</v>
      </c>
      <c r="D144" s="31">
        <v>4</v>
      </c>
      <c r="E144" s="31">
        <v>5</v>
      </c>
      <c r="F144" s="31">
        <v>8</v>
      </c>
      <c r="G144" s="7">
        <v>201.9</v>
      </c>
      <c r="H144" s="7">
        <v>252.38</v>
      </c>
      <c r="I144" s="7">
        <v>269.2</v>
      </c>
      <c r="J144" s="7">
        <v>323.04000000000002</v>
      </c>
      <c r="K144" s="40">
        <v>30</v>
      </c>
      <c r="L144" s="8">
        <v>1.6666666666666701</v>
      </c>
      <c r="M144" s="8">
        <v>0.61721339984836798</v>
      </c>
      <c r="N144" s="8">
        <v>0.15936381457791901</v>
      </c>
      <c r="O144" s="31">
        <v>25</v>
      </c>
      <c r="P144" s="9">
        <v>2.0666666669999998</v>
      </c>
      <c r="Q144" s="9">
        <v>0.59361684000000003</v>
      </c>
      <c r="R144" s="9">
        <v>0.15327120899999999</v>
      </c>
      <c r="S144" s="33">
        <v>49</v>
      </c>
      <c r="T144" s="14">
        <v>1.86666666666667</v>
      </c>
      <c r="U144" s="8">
        <v>0.62881022482985605</v>
      </c>
      <c r="V144" s="8">
        <v>0.114804514843069</v>
      </c>
      <c r="W144" s="35">
        <v>4.3333333333333335E-2</v>
      </c>
      <c r="X144" s="30">
        <v>16.819999999999993</v>
      </c>
    </row>
    <row r="145" spans="1:24">
      <c r="A145" s="15">
        <v>140</v>
      </c>
      <c r="B145" s="3"/>
      <c r="C145" s="32">
        <v>0</v>
      </c>
      <c r="D145" s="31">
        <v>4</v>
      </c>
      <c r="E145" s="31">
        <v>5</v>
      </c>
      <c r="F145" s="31">
        <v>9</v>
      </c>
      <c r="G145" s="7">
        <v>199.34</v>
      </c>
      <c r="H145" s="7">
        <v>249.17</v>
      </c>
      <c r="I145" s="7">
        <v>265.77999999999997</v>
      </c>
      <c r="J145" s="7">
        <v>332.23</v>
      </c>
      <c r="K145" s="40">
        <v>12</v>
      </c>
      <c r="L145" s="8">
        <v>2.8666666666666698</v>
      </c>
      <c r="M145" s="8">
        <v>0.83380938783279201</v>
      </c>
      <c r="N145" s="8">
        <v>0.21528865819918699</v>
      </c>
      <c r="O145" s="38">
        <v>9</v>
      </c>
      <c r="P145" s="9">
        <v>3.1333333329999999</v>
      </c>
      <c r="Q145" s="9">
        <v>0.51639777899999995</v>
      </c>
      <c r="R145" s="9">
        <v>0.133333333</v>
      </c>
      <c r="S145" s="33">
        <v>16</v>
      </c>
      <c r="T145" s="14">
        <v>3</v>
      </c>
      <c r="U145" s="8">
        <v>0.69480833377965101</v>
      </c>
      <c r="V145" s="8">
        <v>0.12685406585123099</v>
      </c>
      <c r="W145" s="35">
        <v>0.2</v>
      </c>
      <c r="X145" s="30">
        <v>16.609999999999985</v>
      </c>
    </row>
    <row r="146" spans="1:24">
      <c r="A146" s="15">
        <v>141</v>
      </c>
      <c r="B146" s="4"/>
      <c r="C146" s="32">
        <v>0</v>
      </c>
      <c r="D146" s="31">
        <v>4</v>
      </c>
      <c r="E146" s="31">
        <v>5</v>
      </c>
      <c r="F146" s="31">
        <v>10</v>
      </c>
      <c r="G146" s="7">
        <v>194.4</v>
      </c>
      <c r="H146" s="7">
        <v>243</v>
      </c>
      <c r="I146" s="7">
        <v>259.2</v>
      </c>
      <c r="J146" s="7">
        <v>349.92</v>
      </c>
      <c r="K146" s="40">
        <v>28</v>
      </c>
      <c r="L146" s="8">
        <v>1.8</v>
      </c>
      <c r="M146" s="8">
        <v>0.86189160737133497</v>
      </c>
      <c r="N146" s="8">
        <v>0.22253945610567499</v>
      </c>
      <c r="O146" s="38">
        <v>23</v>
      </c>
      <c r="P146" s="9">
        <v>2.2000000000000002</v>
      </c>
      <c r="Q146" s="9">
        <v>1.014185106</v>
      </c>
      <c r="R146" s="9">
        <v>0.26186146799999999</v>
      </c>
      <c r="S146" s="33">
        <v>45</v>
      </c>
      <c r="T146" s="14">
        <v>2</v>
      </c>
      <c r="U146" s="8">
        <v>0.94686415294799897</v>
      </c>
      <c r="V146" s="8">
        <v>0.17287295182088</v>
      </c>
      <c r="W146" s="35">
        <v>4.2407407407407408E-2</v>
      </c>
      <c r="X146" s="30">
        <v>16.199999999999989</v>
      </c>
    </row>
    <row r="147" spans="1:24">
      <c r="A147" s="15">
        <v>142</v>
      </c>
      <c r="B147" s="4"/>
      <c r="C147" s="32">
        <v>0</v>
      </c>
      <c r="D147" s="31">
        <v>4</v>
      </c>
      <c r="E147" s="31">
        <v>5</v>
      </c>
      <c r="F147" s="31">
        <v>11</v>
      </c>
      <c r="G147" s="7">
        <v>191.73</v>
      </c>
      <c r="H147" s="7">
        <v>239.66</v>
      </c>
      <c r="I147" s="7">
        <v>255.64</v>
      </c>
      <c r="J147" s="7">
        <v>359.49</v>
      </c>
      <c r="K147" s="40">
        <v>28</v>
      </c>
      <c r="L147" s="8">
        <v>1.8</v>
      </c>
      <c r="M147" s="8">
        <v>0.77459666924148296</v>
      </c>
      <c r="N147" s="8">
        <v>0.2</v>
      </c>
      <c r="O147" s="38">
        <v>20</v>
      </c>
      <c r="P147" s="9">
        <v>2.4</v>
      </c>
      <c r="Q147" s="9">
        <v>0.985610761</v>
      </c>
      <c r="R147" s="9">
        <v>0.25448360399999997</v>
      </c>
      <c r="S147" s="33">
        <v>42</v>
      </c>
      <c r="T147" s="14">
        <v>2.1</v>
      </c>
      <c r="U147" s="8">
        <v>0.92288901712558902</v>
      </c>
      <c r="V147" s="8">
        <v>0.16849571091781901</v>
      </c>
      <c r="W147" s="35">
        <v>9.8611111111111108E-2</v>
      </c>
      <c r="X147" s="30">
        <v>15.97999999999999</v>
      </c>
    </row>
    <row r="148" spans="1:24">
      <c r="A148" s="15">
        <v>143</v>
      </c>
      <c r="B148" s="4" t="s">
        <v>48</v>
      </c>
      <c r="C148" s="32">
        <v>0</v>
      </c>
      <c r="D148" s="31">
        <v>4</v>
      </c>
      <c r="E148" s="31">
        <v>5</v>
      </c>
      <c r="F148" s="31">
        <v>12</v>
      </c>
      <c r="G148" s="7">
        <v>187.44</v>
      </c>
      <c r="H148" s="7">
        <v>234.3</v>
      </c>
      <c r="I148" s="7">
        <v>249.92</v>
      </c>
      <c r="J148" s="7">
        <v>374.87</v>
      </c>
      <c r="K148" s="40">
        <v>21</v>
      </c>
      <c r="L148" s="8">
        <v>2.2666666666666702</v>
      </c>
      <c r="M148" s="8">
        <v>0.79880863671797997</v>
      </c>
      <c r="N148" s="8">
        <v>0.206251503121026</v>
      </c>
      <c r="O148" s="38">
        <v>15</v>
      </c>
      <c r="P148" s="9">
        <v>2.733333333</v>
      </c>
      <c r="Q148" s="9">
        <v>0.70373155099999996</v>
      </c>
      <c r="R148" s="9">
        <v>0.18170270499999999</v>
      </c>
      <c r="S148" s="33">
        <v>30</v>
      </c>
      <c r="T148" s="14">
        <v>2.5</v>
      </c>
      <c r="U148" s="8">
        <v>0.77681933283233195</v>
      </c>
      <c r="V148" s="8">
        <v>0.14182715723279399</v>
      </c>
      <c r="W148" s="35">
        <v>0.17499999999999999</v>
      </c>
      <c r="X148" s="30">
        <v>15.619999999999976</v>
      </c>
    </row>
    <row r="149" spans="1:24">
      <c r="A149" s="15">
        <v>144</v>
      </c>
      <c r="B149" s="4" t="s">
        <v>71</v>
      </c>
      <c r="C149" s="32">
        <v>0</v>
      </c>
      <c r="D149" s="31">
        <v>4</v>
      </c>
      <c r="E149" s="31">
        <v>6</v>
      </c>
      <c r="F149" s="31">
        <v>7</v>
      </c>
      <c r="G149" s="7">
        <v>203.21</v>
      </c>
      <c r="H149" s="7">
        <v>254.01</v>
      </c>
      <c r="I149" s="7">
        <v>284.49</v>
      </c>
      <c r="J149" s="7">
        <v>304.81</v>
      </c>
      <c r="K149" s="40">
        <v>26</v>
      </c>
      <c r="L149" s="8">
        <v>1.93333333333333</v>
      </c>
      <c r="M149" s="8">
        <v>0.70373155054899705</v>
      </c>
      <c r="N149" s="8">
        <v>0.181702705031799</v>
      </c>
      <c r="O149" s="38">
        <v>18</v>
      </c>
      <c r="P149" s="9">
        <v>2.5333333329999999</v>
      </c>
      <c r="Q149" s="9">
        <v>0.51639777899999995</v>
      </c>
      <c r="R149" s="9">
        <v>0.133333333</v>
      </c>
      <c r="S149" s="33">
        <v>38</v>
      </c>
      <c r="T149" s="14">
        <v>2.2333333333333298</v>
      </c>
      <c r="U149" s="8">
        <v>0.67891055392436295</v>
      </c>
      <c r="V149" s="8">
        <v>0.123951541637567</v>
      </c>
      <c r="W149" s="35">
        <v>0.1219047619047619</v>
      </c>
      <c r="X149" s="30">
        <v>20.319999999999993</v>
      </c>
    </row>
    <row r="150" spans="1:24">
      <c r="A150" s="13">
        <v>145</v>
      </c>
      <c r="B150" s="4"/>
      <c r="C150" s="36">
        <v>0</v>
      </c>
      <c r="D150" s="37">
        <v>4</v>
      </c>
      <c r="E150" s="37">
        <v>6</v>
      </c>
      <c r="F150" s="37">
        <v>8</v>
      </c>
      <c r="G150" s="12">
        <v>199.34</v>
      </c>
      <c r="H150" s="12">
        <v>249.17</v>
      </c>
      <c r="I150" s="12">
        <v>279.07</v>
      </c>
      <c r="J150" s="12">
        <v>318.94</v>
      </c>
      <c r="K150" s="34">
        <v>23</v>
      </c>
      <c r="L150" s="8">
        <v>2.1333333333333302</v>
      </c>
      <c r="M150" s="8">
        <v>0.51639777949432197</v>
      </c>
      <c r="N150" s="8">
        <v>0.133333333333333</v>
      </c>
      <c r="O150" s="39">
        <v>21</v>
      </c>
      <c r="P150" s="9">
        <v>2.3333333330000001</v>
      </c>
      <c r="Q150" s="9">
        <v>0.816496581</v>
      </c>
      <c r="R150" s="9">
        <v>0.21081851099999999</v>
      </c>
      <c r="S150" s="33">
        <v>38</v>
      </c>
      <c r="T150" s="14">
        <v>2.2333333333333298</v>
      </c>
      <c r="U150" s="8">
        <v>0.67891055392436295</v>
      </c>
      <c r="V150" s="8">
        <v>0.123951541637567</v>
      </c>
      <c r="W150" s="35">
        <v>0.13</v>
      </c>
      <c r="X150" s="30">
        <v>29.900000000000006</v>
      </c>
    </row>
    <row r="151" spans="1:24">
      <c r="A151" s="16">
        <v>146</v>
      </c>
      <c r="B151" s="4"/>
      <c r="C151" s="38">
        <v>0</v>
      </c>
      <c r="D151" s="31">
        <v>4</v>
      </c>
      <c r="E151" s="31">
        <v>6</v>
      </c>
      <c r="F151" s="31">
        <v>9</v>
      </c>
      <c r="G151" s="7">
        <v>196.84</v>
      </c>
      <c r="H151" s="7">
        <v>246.05</v>
      </c>
      <c r="I151" s="7">
        <v>275.57</v>
      </c>
      <c r="J151" s="7">
        <v>328.06</v>
      </c>
      <c r="K151" s="38">
        <v>15</v>
      </c>
      <c r="L151" s="8">
        <v>2.6666666666666701</v>
      </c>
      <c r="M151" s="8">
        <v>0.72374686445574599</v>
      </c>
      <c r="N151" s="8">
        <v>0.18687063686046301</v>
      </c>
      <c r="O151" s="31">
        <v>19</v>
      </c>
      <c r="P151" s="9">
        <v>2.4666666670000001</v>
      </c>
      <c r="Q151" s="9">
        <v>0.63994047300000001</v>
      </c>
      <c r="R151" s="9">
        <v>0.16523192</v>
      </c>
      <c r="S151" s="33">
        <v>28</v>
      </c>
      <c r="T151" s="14">
        <v>2.56666666666667</v>
      </c>
      <c r="U151" s="8">
        <v>0.67891055392436295</v>
      </c>
      <c r="V151" s="8">
        <v>0.123951541637567</v>
      </c>
      <c r="W151" s="35">
        <v>4.2857142857142858E-2</v>
      </c>
      <c r="X151" s="30">
        <v>29.519999999999982</v>
      </c>
    </row>
    <row r="152" spans="1:24">
      <c r="A152" s="4">
        <v>147</v>
      </c>
      <c r="B152" s="4" t="s">
        <v>74</v>
      </c>
      <c r="C152" s="39">
        <v>0</v>
      </c>
      <c r="D152" s="37">
        <v>4</v>
      </c>
      <c r="E152" s="37">
        <v>6</v>
      </c>
      <c r="F152" s="37">
        <v>10</v>
      </c>
      <c r="G152" s="12">
        <v>192.02</v>
      </c>
      <c r="H152" s="12">
        <v>240.03</v>
      </c>
      <c r="I152" s="12">
        <v>268.83</v>
      </c>
      <c r="J152" s="12">
        <v>345.64</v>
      </c>
      <c r="K152" s="37">
        <v>26</v>
      </c>
      <c r="L152" s="8">
        <v>1.93333333333333</v>
      </c>
      <c r="M152" s="8">
        <v>0.457737708217063</v>
      </c>
      <c r="N152" s="8">
        <v>0.118187368057056</v>
      </c>
      <c r="O152" s="39">
        <v>30</v>
      </c>
      <c r="P152" s="9">
        <v>1.733333333</v>
      </c>
      <c r="Q152" s="9">
        <v>0.59361684000000003</v>
      </c>
      <c r="R152" s="9">
        <v>0.15327120899999999</v>
      </c>
      <c r="S152" s="33">
        <v>50</v>
      </c>
      <c r="T152" s="14">
        <v>1.8333333333333299</v>
      </c>
      <c r="U152" s="8">
        <v>0.53066863050523205</v>
      </c>
      <c r="V152" s="8">
        <v>9.6886393162696594E-2</v>
      </c>
      <c r="W152" s="35">
        <v>0.12761904761904763</v>
      </c>
      <c r="X152" s="30">
        <v>28.799999999999983</v>
      </c>
    </row>
    <row r="153" spans="1:24">
      <c r="A153" s="18">
        <v>148</v>
      </c>
      <c r="B153" s="4"/>
      <c r="C153" s="38">
        <v>0</v>
      </c>
      <c r="D153" s="31">
        <v>4</v>
      </c>
      <c r="E153" s="31">
        <v>6</v>
      </c>
      <c r="F153" s="31">
        <v>11</v>
      </c>
      <c r="G153" s="7">
        <v>189.42</v>
      </c>
      <c r="H153" s="7">
        <v>236.77</v>
      </c>
      <c r="I153" s="7">
        <v>265.18</v>
      </c>
      <c r="J153" s="7">
        <v>355.15</v>
      </c>
      <c r="K153" s="31">
        <v>21</v>
      </c>
      <c r="L153" s="8">
        <v>2.2666666666666702</v>
      </c>
      <c r="M153" s="8">
        <v>0.70373155054899705</v>
      </c>
      <c r="N153" s="8">
        <v>0.181702705031799</v>
      </c>
      <c r="O153" s="38">
        <v>17</v>
      </c>
      <c r="P153" s="9">
        <v>2.6</v>
      </c>
      <c r="Q153" s="9">
        <v>0.91025898999999999</v>
      </c>
      <c r="R153" s="9">
        <v>0.235027861</v>
      </c>
      <c r="S153" s="33">
        <v>32</v>
      </c>
      <c r="T153" s="14">
        <v>2.43333333333333</v>
      </c>
      <c r="U153" s="8">
        <v>0.81720015415687697</v>
      </c>
      <c r="V153" s="8">
        <v>0.149199652809474</v>
      </c>
      <c r="W153" s="35">
        <v>6.0952380952380952E-2</v>
      </c>
      <c r="X153" s="30">
        <v>28.409999999999997</v>
      </c>
    </row>
    <row r="154" spans="1:24">
      <c r="A154" s="17">
        <v>149</v>
      </c>
      <c r="B154" s="4" t="s">
        <v>55</v>
      </c>
      <c r="C154" s="39">
        <v>0</v>
      </c>
      <c r="D154" s="37">
        <v>4</v>
      </c>
      <c r="E154" s="37">
        <v>6</v>
      </c>
      <c r="F154" s="37">
        <v>12</v>
      </c>
      <c r="G154" s="12">
        <v>185.22</v>
      </c>
      <c r="H154" s="12">
        <v>231.53</v>
      </c>
      <c r="I154" s="12">
        <v>259.31</v>
      </c>
      <c r="J154" s="12">
        <v>370.45</v>
      </c>
      <c r="K154" s="39">
        <v>14</v>
      </c>
      <c r="L154" s="8">
        <v>2.7333333333333298</v>
      </c>
      <c r="M154" s="8">
        <v>0.59361683970466395</v>
      </c>
      <c r="N154" s="8">
        <v>0.153271208946963</v>
      </c>
      <c r="O154" s="39">
        <v>15</v>
      </c>
      <c r="P154" s="9">
        <v>2.733333333</v>
      </c>
      <c r="Q154" s="9">
        <v>0.59361684000000003</v>
      </c>
      <c r="R154" s="9">
        <v>0.15327120899999999</v>
      </c>
      <c r="S154" s="33">
        <v>24</v>
      </c>
      <c r="T154" s="14">
        <v>2.7333333333333298</v>
      </c>
      <c r="U154" s="8">
        <v>0.58329228098567498</v>
      </c>
      <c r="V154" s="8">
        <v>0.10649411330483199</v>
      </c>
      <c r="W154" s="35">
        <v>0.10857142857142857</v>
      </c>
      <c r="X154" s="30">
        <v>27.78</v>
      </c>
    </row>
    <row r="155" spans="1:24">
      <c r="A155" s="17">
        <v>150</v>
      </c>
      <c r="B155" s="4" t="s">
        <v>77</v>
      </c>
      <c r="C155" s="39">
        <v>0</v>
      </c>
      <c r="D155" s="37">
        <v>4</v>
      </c>
      <c r="E155" s="37">
        <v>7</v>
      </c>
      <c r="F155" s="37">
        <v>8</v>
      </c>
      <c r="G155" s="12">
        <v>195.61</v>
      </c>
      <c r="H155" s="12">
        <v>244.51</v>
      </c>
      <c r="I155" s="12">
        <v>293.42</v>
      </c>
      <c r="J155" s="12">
        <v>312.98</v>
      </c>
      <c r="K155" s="39">
        <v>28</v>
      </c>
      <c r="L155" s="8">
        <v>1.8</v>
      </c>
      <c r="M155" s="8">
        <v>0.41403933560541301</v>
      </c>
      <c r="N155" s="8">
        <v>0.10690449676497001</v>
      </c>
      <c r="O155" s="39">
        <v>26</v>
      </c>
      <c r="P155" s="9">
        <v>2</v>
      </c>
      <c r="Q155" s="9">
        <v>0.53452248400000002</v>
      </c>
      <c r="R155" s="9">
        <v>0.13801311199999999</v>
      </c>
      <c r="S155" s="33">
        <v>48</v>
      </c>
      <c r="T155" s="14">
        <v>1.9</v>
      </c>
      <c r="U155" s="8">
        <v>0.48066046515042299</v>
      </c>
      <c r="V155" s="8">
        <v>8.7756193087937404E-2</v>
      </c>
      <c r="W155" s="35">
        <v>0.11833333333333333</v>
      </c>
      <c r="X155" s="30">
        <v>19.560000000000002</v>
      </c>
    </row>
    <row r="156" spans="1:24">
      <c r="A156" s="4">
        <v>151</v>
      </c>
      <c r="B156" s="4" t="s">
        <v>78</v>
      </c>
      <c r="C156" s="39">
        <v>0</v>
      </c>
      <c r="D156" s="37">
        <v>4</v>
      </c>
      <c r="E156" s="37">
        <v>7</v>
      </c>
      <c r="F156" s="37">
        <v>9</v>
      </c>
      <c r="G156" s="12">
        <v>193.2</v>
      </c>
      <c r="H156" s="12">
        <v>241.5</v>
      </c>
      <c r="I156" s="12">
        <v>289.81</v>
      </c>
      <c r="J156" s="12">
        <v>322.01</v>
      </c>
      <c r="K156" s="37">
        <v>10</v>
      </c>
      <c r="L156" s="8">
        <v>3</v>
      </c>
      <c r="M156" s="8">
        <v>0.75592894601845395</v>
      </c>
      <c r="N156" s="8">
        <v>0.19518001458970699</v>
      </c>
      <c r="O156" s="39">
        <v>12</v>
      </c>
      <c r="P156" s="9">
        <v>2.9333333330000002</v>
      </c>
      <c r="Q156" s="9">
        <v>0.79880863700000004</v>
      </c>
      <c r="R156" s="9">
        <v>0.206251503</v>
      </c>
      <c r="S156" s="33">
        <v>17</v>
      </c>
      <c r="T156" s="14">
        <v>2.9666666666666699</v>
      </c>
      <c r="U156" s="8">
        <v>0.76489049625705796</v>
      </c>
      <c r="V156" s="8">
        <v>0.139649259607104</v>
      </c>
      <c r="W156" s="35">
        <v>0.18888888888888888</v>
      </c>
      <c r="X156" s="30">
        <v>32.199999999999989</v>
      </c>
    </row>
    <row r="157" spans="1:24">
      <c r="A157" s="18">
        <v>152</v>
      </c>
      <c r="B157" s="4" t="s">
        <v>53</v>
      </c>
      <c r="C157" s="38">
        <v>0</v>
      </c>
      <c r="D157" s="31">
        <v>4</v>
      </c>
      <c r="E157" s="31">
        <v>7</v>
      </c>
      <c r="F157" s="31">
        <v>10</v>
      </c>
      <c r="G157" s="7">
        <v>188.56</v>
      </c>
      <c r="H157" s="7">
        <v>235.7</v>
      </c>
      <c r="I157" s="7">
        <v>282.83999999999997</v>
      </c>
      <c r="J157" s="7">
        <v>339.41</v>
      </c>
      <c r="K157" s="31">
        <v>14</v>
      </c>
      <c r="L157" s="8">
        <v>2.7333333333333298</v>
      </c>
      <c r="M157" s="8">
        <v>0.79880863671797997</v>
      </c>
      <c r="N157" s="8">
        <v>0.206251503121026</v>
      </c>
      <c r="O157" s="38">
        <v>21</v>
      </c>
      <c r="P157" s="9">
        <v>2.3333333330000001</v>
      </c>
      <c r="Q157" s="9">
        <v>0.89973541099999998</v>
      </c>
      <c r="R157" s="9">
        <v>0.23231068399999999</v>
      </c>
      <c r="S157" s="33">
        <v>29</v>
      </c>
      <c r="T157" s="14">
        <v>2.5333333333333301</v>
      </c>
      <c r="U157" s="8">
        <v>0.86036613430415299</v>
      </c>
      <c r="V157" s="8">
        <v>0.157080646490635</v>
      </c>
      <c r="W157" s="35">
        <v>0.11555555555555555</v>
      </c>
      <c r="X157" s="30">
        <v>47.139999999999986</v>
      </c>
    </row>
    <row r="158" spans="1:24">
      <c r="A158" s="18">
        <v>153</v>
      </c>
      <c r="B158" s="4" t="s">
        <v>14</v>
      </c>
      <c r="C158" s="38">
        <v>0</v>
      </c>
      <c r="D158" s="31">
        <v>4</v>
      </c>
      <c r="E158" s="31">
        <v>7</v>
      </c>
      <c r="F158" s="31">
        <v>11</v>
      </c>
      <c r="G158" s="7">
        <v>186.05</v>
      </c>
      <c r="H158" s="7">
        <v>232.56</v>
      </c>
      <c r="I158" s="7">
        <v>279.07</v>
      </c>
      <c r="J158" s="7">
        <v>348.84</v>
      </c>
      <c r="K158" s="31">
        <v>9</v>
      </c>
      <c r="L158" s="8">
        <v>3.06666666666667</v>
      </c>
      <c r="M158" s="8">
        <v>0.88371510168853695</v>
      </c>
      <c r="N158" s="8">
        <v>0.22817425810878</v>
      </c>
      <c r="O158" s="38">
        <v>4</v>
      </c>
      <c r="P158" s="9">
        <v>3.5333333329999999</v>
      </c>
      <c r="Q158" s="9">
        <v>0.74322335299999998</v>
      </c>
      <c r="R158" s="9">
        <v>0.191899445</v>
      </c>
      <c r="S158" s="33">
        <v>9</v>
      </c>
      <c r="T158" s="14">
        <v>3.3</v>
      </c>
      <c r="U158" s="8">
        <v>0.83666002653407601</v>
      </c>
      <c r="V158" s="8">
        <v>0.152752523165195</v>
      </c>
      <c r="W158" s="35">
        <v>0.26666666666666666</v>
      </c>
      <c r="X158" s="30">
        <v>46.509999999999991</v>
      </c>
    </row>
    <row r="159" spans="1:24">
      <c r="A159" s="16">
        <v>154</v>
      </c>
      <c r="B159" s="4" t="s">
        <v>58</v>
      </c>
      <c r="C159" s="38">
        <v>0</v>
      </c>
      <c r="D159" s="31">
        <v>4</v>
      </c>
      <c r="E159" s="31">
        <v>7</v>
      </c>
      <c r="F159" s="31">
        <v>12</v>
      </c>
      <c r="G159" s="7">
        <v>182</v>
      </c>
      <c r="H159" s="7">
        <v>227.5</v>
      </c>
      <c r="I159" s="7">
        <v>273.01</v>
      </c>
      <c r="J159" s="7">
        <v>364.01</v>
      </c>
      <c r="K159" s="38">
        <v>2</v>
      </c>
      <c r="L159" s="8">
        <v>3.93333333333333</v>
      </c>
      <c r="M159" s="8">
        <v>0.25819888974716099</v>
      </c>
      <c r="N159" s="8">
        <v>6.6666666666666693E-2</v>
      </c>
      <c r="O159" s="38">
        <v>1</v>
      </c>
      <c r="P159" s="9">
        <v>3.733333333</v>
      </c>
      <c r="Q159" s="9">
        <v>0.79880863700000004</v>
      </c>
      <c r="R159" s="9">
        <v>0.206251503</v>
      </c>
      <c r="S159" s="33">
        <v>1</v>
      </c>
      <c r="T159" s="14">
        <v>3.8333333333333299</v>
      </c>
      <c r="U159" s="8">
        <v>0.59209349991675997</v>
      </c>
      <c r="V159" s="8">
        <v>0.108100988685531</v>
      </c>
      <c r="W159" s="35">
        <v>0.46666666666666667</v>
      </c>
      <c r="X159" s="30">
        <v>45.5</v>
      </c>
    </row>
    <row r="160" spans="1:24">
      <c r="A160" s="16">
        <v>155</v>
      </c>
      <c r="B160" s="4" t="s">
        <v>61</v>
      </c>
      <c r="C160" s="38">
        <v>0</v>
      </c>
      <c r="D160" s="31">
        <v>4</v>
      </c>
      <c r="E160" s="31">
        <v>8</v>
      </c>
      <c r="F160" s="31">
        <v>9</v>
      </c>
      <c r="G160" s="7">
        <v>189.7</v>
      </c>
      <c r="H160" s="7">
        <v>237.13</v>
      </c>
      <c r="I160" s="7">
        <v>303.52</v>
      </c>
      <c r="J160" s="7">
        <v>316.17</v>
      </c>
      <c r="K160" s="38">
        <v>35</v>
      </c>
      <c r="L160" s="8">
        <v>1.3333333333333299</v>
      </c>
      <c r="M160" s="8">
        <v>0.48795003647426699</v>
      </c>
      <c r="N160" s="8">
        <v>0.125988157669742</v>
      </c>
      <c r="O160" s="38">
        <v>26</v>
      </c>
      <c r="P160" s="9">
        <v>2</v>
      </c>
      <c r="Q160" s="9">
        <v>0.65465367100000005</v>
      </c>
      <c r="R160" s="9">
        <v>0.16903085100000001</v>
      </c>
      <c r="S160" s="33">
        <v>55</v>
      </c>
      <c r="T160" s="14">
        <v>1.6666666666666701</v>
      </c>
      <c r="U160" s="8">
        <v>0.66089455225126703</v>
      </c>
      <c r="V160" s="8">
        <v>0.120662284800098</v>
      </c>
      <c r="W160" s="35">
        <v>4.1666666666666664E-2</v>
      </c>
      <c r="X160" s="30">
        <v>12.650000000000034</v>
      </c>
    </row>
    <row r="161" spans="1:24">
      <c r="A161" s="18">
        <v>156</v>
      </c>
      <c r="B161" s="4" t="s">
        <v>62</v>
      </c>
      <c r="C161" s="38">
        <v>0</v>
      </c>
      <c r="D161" s="31">
        <v>4</v>
      </c>
      <c r="E161" s="31">
        <v>8</v>
      </c>
      <c r="F161" s="31">
        <v>10</v>
      </c>
      <c r="G161" s="7">
        <v>185.22</v>
      </c>
      <c r="H161" s="7">
        <v>231.53</v>
      </c>
      <c r="I161" s="7">
        <v>296.36</v>
      </c>
      <c r="J161" s="7">
        <v>333.4</v>
      </c>
      <c r="K161" s="31">
        <v>31</v>
      </c>
      <c r="L161" s="8">
        <v>1.6</v>
      </c>
      <c r="M161" s="8">
        <v>0.63245553203367599</v>
      </c>
      <c r="N161" s="8">
        <v>0.163299316185545</v>
      </c>
      <c r="O161" s="38">
        <v>29</v>
      </c>
      <c r="P161" s="9">
        <v>1.8</v>
      </c>
      <c r="Q161" s="9">
        <v>0.77459666900000002</v>
      </c>
      <c r="R161" s="9">
        <v>0.2</v>
      </c>
      <c r="S161" s="33">
        <v>54</v>
      </c>
      <c r="T161" s="14">
        <v>1.7</v>
      </c>
      <c r="U161" s="8">
        <v>0.70221324985780598</v>
      </c>
      <c r="V161" s="8">
        <v>0.12820601237537699</v>
      </c>
      <c r="W161" s="35">
        <v>0.12444444444444444</v>
      </c>
      <c r="X161" s="30">
        <v>37.039999999999964</v>
      </c>
    </row>
    <row r="162" spans="1:24">
      <c r="A162" s="18">
        <v>157</v>
      </c>
      <c r="B162" s="4" t="s">
        <v>63</v>
      </c>
      <c r="C162" s="38">
        <v>0</v>
      </c>
      <c r="D162" s="31">
        <v>4</v>
      </c>
      <c r="E162" s="31">
        <v>8</v>
      </c>
      <c r="F162" s="31">
        <v>11</v>
      </c>
      <c r="G162" s="7">
        <v>182.8</v>
      </c>
      <c r="H162" s="7">
        <v>228.5</v>
      </c>
      <c r="I162" s="7">
        <v>292.48</v>
      </c>
      <c r="J162" s="7">
        <v>342.75</v>
      </c>
      <c r="K162" s="31">
        <v>26</v>
      </c>
      <c r="L162" s="8">
        <v>1.93333333333333</v>
      </c>
      <c r="M162" s="8">
        <v>0.59361683970466395</v>
      </c>
      <c r="N162" s="8">
        <v>0.153271208946963</v>
      </c>
      <c r="O162" s="38">
        <v>26</v>
      </c>
      <c r="P162" s="9">
        <v>2</v>
      </c>
      <c r="Q162" s="9">
        <v>0.37796447300000002</v>
      </c>
      <c r="R162" s="9">
        <v>9.7590007000000006E-2</v>
      </c>
      <c r="S162" s="33">
        <v>46</v>
      </c>
      <c r="T162" s="14">
        <v>1.9666666666666699</v>
      </c>
      <c r="U162" s="8">
        <v>0.49013251785356099</v>
      </c>
      <c r="V162" s="8">
        <v>8.9485545398399702E-2</v>
      </c>
      <c r="W162" s="35">
        <v>5.9166666666666666E-2</v>
      </c>
      <c r="X162" s="30">
        <v>45.699999999999989</v>
      </c>
    </row>
    <row r="163" spans="1:24">
      <c r="A163" s="16">
        <v>158</v>
      </c>
      <c r="B163" s="4" t="s">
        <v>55</v>
      </c>
      <c r="C163" s="38">
        <v>0</v>
      </c>
      <c r="D163" s="31">
        <v>4</v>
      </c>
      <c r="E163" s="31">
        <v>8</v>
      </c>
      <c r="F163" s="31">
        <v>12</v>
      </c>
      <c r="G163" s="7">
        <v>178.89</v>
      </c>
      <c r="H163" s="7">
        <v>223.62</v>
      </c>
      <c r="I163" s="7">
        <v>286.23</v>
      </c>
      <c r="J163" s="7">
        <v>357.78</v>
      </c>
      <c r="K163" s="38">
        <v>22</v>
      </c>
      <c r="L163" s="8">
        <v>2.2000000000000002</v>
      </c>
      <c r="M163" s="8">
        <v>0.67612340378281299</v>
      </c>
      <c r="N163" s="8">
        <v>0.17457431218879399</v>
      </c>
      <c r="O163" s="38">
        <v>18</v>
      </c>
      <c r="P163" s="9">
        <v>2.5333333329999999</v>
      </c>
      <c r="Q163" s="9">
        <v>0.74322335299999998</v>
      </c>
      <c r="R163" s="9">
        <v>0.191899445</v>
      </c>
      <c r="S163" s="33">
        <v>34</v>
      </c>
      <c r="T163" s="14">
        <v>2.3666666666666698</v>
      </c>
      <c r="U163" s="8">
        <v>0.71839540228413801</v>
      </c>
      <c r="V163" s="8">
        <v>0.13116045567967399</v>
      </c>
      <c r="W163" s="35">
        <v>0.105</v>
      </c>
      <c r="X163" s="30">
        <v>44.730000000000018</v>
      </c>
    </row>
    <row r="164" spans="1:24">
      <c r="A164" s="16">
        <v>159</v>
      </c>
      <c r="B164" s="4"/>
      <c r="C164" s="38">
        <v>0</v>
      </c>
      <c r="D164" s="31">
        <v>4</v>
      </c>
      <c r="E164" s="31">
        <v>9</v>
      </c>
      <c r="F164" s="31">
        <v>10</v>
      </c>
      <c r="G164" s="7">
        <v>183.06</v>
      </c>
      <c r="H164" s="7">
        <v>228.83</v>
      </c>
      <c r="I164" s="7">
        <v>305.11</v>
      </c>
      <c r="J164" s="7">
        <v>329.52</v>
      </c>
      <c r="K164" s="38">
        <v>35</v>
      </c>
      <c r="L164" s="8">
        <v>1.3333333333333299</v>
      </c>
      <c r="M164" s="8">
        <v>0.48795003647426699</v>
      </c>
      <c r="N164" s="8">
        <v>0.125988157669742</v>
      </c>
      <c r="O164" s="38">
        <v>29</v>
      </c>
      <c r="P164" s="9">
        <v>1.8</v>
      </c>
      <c r="Q164" s="9">
        <v>0.67612340400000004</v>
      </c>
      <c r="R164" s="9">
        <v>0.17457431200000001</v>
      </c>
      <c r="S164" s="33">
        <v>58</v>
      </c>
      <c r="T164" s="14">
        <v>1.56666666666667</v>
      </c>
      <c r="U164" s="8">
        <v>0.62606231557929304</v>
      </c>
      <c r="V164" s="8">
        <v>0.114302817548899</v>
      </c>
      <c r="W164" s="35">
        <v>4.0740740740740744E-2</v>
      </c>
      <c r="X164" s="30">
        <v>24.409999999999968</v>
      </c>
    </row>
    <row r="165" spans="1:24">
      <c r="A165" s="15">
        <v>160</v>
      </c>
      <c r="B165" s="4"/>
      <c r="C165" s="32">
        <v>0</v>
      </c>
      <c r="D165" s="31">
        <v>4</v>
      </c>
      <c r="E165" s="31">
        <v>9</v>
      </c>
      <c r="F165" s="31">
        <v>11</v>
      </c>
      <c r="G165" s="7">
        <v>180.69</v>
      </c>
      <c r="H165" s="7">
        <v>225.87</v>
      </c>
      <c r="I165" s="7">
        <v>301.16000000000003</v>
      </c>
      <c r="J165" s="7">
        <v>338.8</v>
      </c>
      <c r="K165" s="40">
        <v>16</v>
      </c>
      <c r="L165" s="8">
        <v>2.6</v>
      </c>
      <c r="M165" s="8">
        <v>0.63245553203367599</v>
      </c>
      <c r="N165" s="8">
        <v>0.163299316185545</v>
      </c>
      <c r="O165" s="32">
        <v>15</v>
      </c>
      <c r="P165" s="9">
        <v>2.733333333</v>
      </c>
      <c r="Q165" s="9">
        <v>0.88371510200000003</v>
      </c>
      <c r="R165" s="9">
        <v>0.22817425799999999</v>
      </c>
      <c r="S165" s="33">
        <v>25</v>
      </c>
      <c r="T165" s="14">
        <v>2.6666666666666701</v>
      </c>
      <c r="U165" s="8">
        <v>0.75809804357890298</v>
      </c>
      <c r="V165" s="8">
        <v>0.13840913308956701</v>
      </c>
      <c r="W165" s="35">
        <v>9.4444444444444442E-2</v>
      </c>
      <c r="X165" s="30">
        <v>37.639999999999986</v>
      </c>
    </row>
    <row r="166" spans="1:24">
      <c r="A166" s="15">
        <v>161</v>
      </c>
      <c r="B166" s="4"/>
      <c r="C166" s="32">
        <v>0</v>
      </c>
      <c r="D166" s="31">
        <v>4</v>
      </c>
      <c r="E166" s="31">
        <v>9</v>
      </c>
      <c r="F166" s="31">
        <v>12</v>
      </c>
      <c r="G166" s="7">
        <v>176.88</v>
      </c>
      <c r="H166" s="7">
        <v>221.1</v>
      </c>
      <c r="I166" s="7">
        <v>294.79000000000002</v>
      </c>
      <c r="J166" s="7">
        <v>353.75</v>
      </c>
      <c r="K166" s="40">
        <v>10</v>
      </c>
      <c r="L166" s="8">
        <v>3</v>
      </c>
      <c r="M166" s="8">
        <v>0.84515425472851702</v>
      </c>
      <c r="N166" s="8">
        <v>0.218217890235992</v>
      </c>
      <c r="O166" s="32">
        <v>5</v>
      </c>
      <c r="P166" s="9">
        <v>3.4666666670000001</v>
      </c>
      <c r="Q166" s="9">
        <v>0.51639777899999995</v>
      </c>
      <c r="R166" s="9">
        <v>0.133333333</v>
      </c>
      <c r="S166" s="33">
        <v>10</v>
      </c>
      <c r="T166" s="14">
        <v>3.2333333333333298</v>
      </c>
      <c r="U166" s="8">
        <v>0.72793204179460602</v>
      </c>
      <c r="V166" s="8">
        <v>0.13290159987389999</v>
      </c>
      <c r="W166" s="35">
        <v>0.16666666666666666</v>
      </c>
      <c r="X166" s="30">
        <v>44.22</v>
      </c>
    </row>
    <row r="167" spans="1:24">
      <c r="A167" s="13">
        <v>162</v>
      </c>
      <c r="B167" s="4"/>
      <c r="C167" s="36">
        <v>0</v>
      </c>
      <c r="D167" s="37">
        <v>4</v>
      </c>
      <c r="E167" s="37">
        <v>10</v>
      </c>
      <c r="F167" s="37">
        <v>11</v>
      </c>
      <c r="G167" s="12">
        <v>176.63</v>
      </c>
      <c r="H167" s="12">
        <v>220.78</v>
      </c>
      <c r="I167" s="12">
        <v>317.93</v>
      </c>
      <c r="J167" s="12">
        <v>331.18</v>
      </c>
      <c r="K167" s="34">
        <v>35</v>
      </c>
      <c r="L167" s="8">
        <v>1.3333333333333299</v>
      </c>
      <c r="M167" s="8">
        <v>0.48795003647426699</v>
      </c>
      <c r="N167" s="8">
        <v>0.125988157669742</v>
      </c>
      <c r="O167" s="37">
        <v>25</v>
      </c>
      <c r="P167" s="9">
        <v>2.0666666669999998</v>
      </c>
      <c r="Q167" s="9">
        <v>0.70373155099999996</v>
      </c>
      <c r="R167" s="9">
        <v>0.18170270499999999</v>
      </c>
      <c r="S167" s="33">
        <v>54</v>
      </c>
      <c r="T167" s="14">
        <v>1.7</v>
      </c>
      <c r="U167" s="8">
        <v>0.70221324985780598</v>
      </c>
      <c r="V167" s="8">
        <v>0.12820601237537699</v>
      </c>
      <c r="W167" s="35">
        <v>5.7777777777777775E-2</v>
      </c>
      <c r="X167" s="30">
        <v>13.25</v>
      </c>
    </row>
    <row r="168" spans="1:24">
      <c r="A168" s="15">
        <v>163</v>
      </c>
      <c r="B168" s="4"/>
      <c r="C168" s="32">
        <v>0</v>
      </c>
      <c r="D168" s="31">
        <v>4</v>
      </c>
      <c r="E168" s="31">
        <v>10</v>
      </c>
      <c r="F168" s="31">
        <v>12</v>
      </c>
      <c r="G168" s="7">
        <v>172.98</v>
      </c>
      <c r="H168" s="7">
        <v>216.22</v>
      </c>
      <c r="I168" s="7">
        <v>311.36</v>
      </c>
      <c r="J168" s="7">
        <v>345.96</v>
      </c>
      <c r="K168" s="40">
        <v>19</v>
      </c>
      <c r="L168" s="8">
        <v>2.4</v>
      </c>
      <c r="M168" s="8">
        <v>0.82807867121082501</v>
      </c>
      <c r="N168" s="8">
        <v>0.21380899352994001</v>
      </c>
      <c r="O168" s="32">
        <v>18</v>
      </c>
      <c r="P168" s="9">
        <v>2.5333333329999999</v>
      </c>
      <c r="Q168" s="9">
        <v>0.51639777899999995</v>
      </c>
      <c r="R168" s="9">
        <v>0.133333333</v>
      </c>
      <c r="S168" s="33">
        <v>31</v>
      </c>
      <c r="T168" s="14">
        <v>2.4666666666666699</v>
      </c>
      <c r="U168" s="8">
        <v>0.68144538746105998</v>
      </c>
      <c r="V168" s="8">
        <v>0.12441433680675699</v>
      </c>
      <c r="W168" s="35">
        <v>0.10222222222222223</v>
      </c>
      <c r="X168" s="30">
        <v>34.599999999999966</v>
      </c>
    </row>
    <row r="169" spans="1:24">
      <c r="A169" s="15">
        <v>164</v>
      </c>
      <c r="B169" s="4"/>
      <c r="C169" s="32">
        <v>0</v>
      </c>
      <c r="D169" s="31">
        <v>4</v>
      </c>
      <c r="E169" s="31">
        <v>11</v>
      </c>
      <c r="F169" s="31">
        <v>12</v>
      </c>
      <c r="G169" s="7">
        <v>170.86</v>
      </c>
      <c r="H169" s="7">
        <v>213.58</v>
      </c>
      <c r="I169" s="7">
        <v>320.36</v>
      </c>
      <c r="J169" s="7">
        <v>341.72</v>
      </c>
      <c r="K169" s="40">
        <v>7</v>
      </c>
      <c r="L169" s="8">
        <v>3.2666666666666702</v>
      </c>
      <c r="M169" s="8">
        <v>0.457737708217063</v>
      </c>
      <c r="N169" s="8">
        <v>0.118187368057056</v>
      </c>
      <c r="O169" s="36">
        <v>6</v>
      </c>
      <c r="P169" s="9">
        <v>3.4</v>
      </c>
      <c r="Q169" s="9">
        <v>0.507092553</v>
      </c>
      <c r="R169" s="9">
        <v>0.13093073399999999</v>
      </c>
      <c r="S169" s="33">
        <v>8</v>
      </c>
      <c r="T169" s="14">
        <v>3.3333333333333299</v>
      </c>
      <c r="U169" s="8">
        <v>0.47946330148538402</v>
      </c>
      <c r="V169" s="8">
        <v>8.7537621906481705E-2</v>
      </c>
      <c r="W169" s="35">
        <v>0.23333333333333334</v>
      </c>
      <c r="X169" s="30">
        <v>21.360000000000014</v>
      </c>
    </row>
    <row r="170" spans="1:24">
      <c r="A170" s="13">
        <v>165</v>
      </c>
      <c r="B170" s="4" t="s">
        <v>64</v>
      </c>
      <c r="C170" s="36">
        <v>0</v>
      </c>
      <c r="D170" s="37">
        <v>5</v>
      </c>
      <c r="E170" s="37">
        <v>6</v>
      </c>
      <c r="F170" s="37">
        <v>7</v>
      </c>
      <c r="G170" s="12">
        <v>199.97</v>
      </c>
      <c r="H170" s="12">
        <v>266.63</v>
      </c>
      <c r="I170" s="12">
        <v>279.95999999999998</v>
      </c>
      <c r="J170" s="12">
        <v>299.95999999999998</v>
      </c>
      <c r="K170" s="34">
        <v>34</v>
      </c>
      <c r="L170" s="8">
        <v>1.4</v>
      </c>
      <c r="M170" s="8">
        <v>0.50709255283710997</v>
      </c>
      <c r="N170" s="8">
        <v>0.13093073414159501</v>
      </c>
      <c r="O170" s="36">
        <v>34</v>
      </c>
      <c r="P170" s="9">
        <v>1.4666666669999999</v>
      </c>
      <c r="Q170" s="9">
        <v>0.63994047300000001</v>
      </c>
      <c r="R170" s="9">
        <v>0.16523192</v>
      </c>
      <c r="S170" s="33">
        <v>62</v>
      </c>
      <c r="T170" s="14">
        <v>1.43333333333333</v>
      </c>
      <c r="U170" s="8">
        <v>0.56832077715593499</v>
      </c>
      <c r="V170" s="8">
        <v>0.103760703182391</v>
      </c>
      <c r="W170" s="35">
        <v>8.0158730158730165E-2</v>
      </c>
      <c r="X170" s="30">
        <v>13.329999999999984</v>
      </c>
    </row>
    <row r="171" spans="1:24">
      <c r="A171" s="13">
        <v>166</v>
      </c>
      <c r="B171" s="4"/>
      <c r="C171" s="36">
        <v>0</v>
      </c>
      <c r="D171" s="37">
        <v>5</v>
      </c>
      <c r="E171" s="37">
        <v>6</v>
      </c>
      <c r="F171" s="37">
        <v>8</v>
      </c>
      <c r="G171" s="12">
        <v>196.22</v>
      </c>
      <c r="H171" s="12">
        <v>261.63</v>
      </c>
      <c r="I171" s="12">
        <v>274.70999999999998</v>
      </c>
      <c r="J171" s="12">
        <v>313.95999999999998</v>
      </c>
      <c r="K171" s="34">
        <v>29</v>
      </c>
      <c r="L171" s="8">
        <v>1.7333333333333301</v>
      </c>
      <c r="M171" s="8">
        <v>0.70373155054899705</v>
      </c>
      <c r="N171" s="8">
        <v>0.181702705031799</v>
      </c>
      <c r="O171" s="36">
        <v>29</v>
      </c>
      <c r="P171" s="9">
        <v>1.8</v>
      </c>
      <c r="Q171" s="9">
        <v>0.56061191099999996</v>
      </c>
      <c r="R171" s="9">
        <v>0.14474937299999999</v>
      </c>
      <c r="S171" s="33">
        <v>52</v>
      </c>
      <c r="T171" s="14">
        <v>1.7666666666666699</v>
      </c>
      <c r="U171" s="8">
        <v>0.62606231557929204</v>
      </c>
      <c r="V171" s="8">
        <v>0.114302817548899</v>
      </c>
      <c r="W171" s="35">
        <v>0.16666666666666666</v>
      </c>
      <c r="X171" s="30">
        <v>13.079999999999984</v>
      </c>
    </row>
    <row r="172" spans="1:24">
      <c r="A172" s="15">
        <v>167</v>
      </c>
      <c r="B172" s="4"/>
      <c r="C172" s="32">
        <v>0</v>
      </c>
      <c r="D172" s="31">
        <v>5</v>
      </c>
      <c r="E172" s="31">
        <v>6</v>
      </c>
      <c r="F172" s="31">
        <v>9</v>
      </c>
      <c r="G172" s="7">
        <v>193.8</v>
      </c>
      <c r="H172" s="7">
        <v>258.39999999999998</v>
      </c>
      <c r="I172" s="7">
        <v>271.32</v>
      </c>
      <c r="J172" s="7">
        <v>323</v>
      </c>
      <c r="K172" s="40">
        <v>26</v>
      </c>
      <c r="L172" s="8">
        <v>1.93333333333333</v>
      </c>
      <c r="M172" s="8">
        <v>0.79880863671797997</v>
      </c>
      <c r="N172" s="8">
        <v>0.206251503121026</v>
      </c>
      <c r="O172" s="32">
        <v>18</v>
      </c>
      <c r="P172" s="9">
        <v>2.5333333329999999</v>
      </c>
      <c r="Q172" s="9">
        <v>0.99043040199999999</v>
      </c>
      <c r="R172" s="9">
        <v>0.25572803</v>
      </c>
      <c r="S172" s="33">
        <v>38</v>
      </c>
      <c r="T172" s="14">
        <v>2.2333333333333298</v>
      </c>
      <c r="U172" s="8">
        <v>0.93526073566581502</v>
      </c>
      <c r="V172" s="8">
        <v>0.17075446735768099</v>
      </c>
      <c r="W172" s="35">
        <v>0.15809523809523809</v>
      </c>
      <c r="X172" s="30">
        <v>12.920000000000016</v>
      </c>
    </row>
    <row r="173" spans="1:24">
      <c r="A173" s="15">
        <v>168</v>
      </c>
      <c r="B173" s="4"/>
      <c r="C173" s="32">
        <v>0</v>
      </c>
      <c r="D173" s="31">
        <v>5</v>
      </c>
      <c r="E173" s="31">
        <v>6</v>
      </c>
      <c r="F173" s="31">
        <v>10</v>
      </c>
      <c r="G173" s="7">
        <v>189.13</v>
      </c>
      <c r="H173" s="7">
        <v>252.17</v>
      </c>
      <c r="I173" s="7">
        <v>264.77999999999997</v>
      </c>
      <c r="J173" s="7">
        <v>340.43</v>
      </c>
      <c r="K173" s="40">
        <v>24</v>
      </c>
      <c r="L173" s="8">
        <v>2.06666666666667</v>
      </c>
      <c r="M173" s="8">
        <v>0.70373155054899705</v>
      </c>
      <c r="N173" s="8">
        <v>0.181702705031799</v>
      </c>
      <c r="O173" s="32">
        <v>25</v>
      </c>
      <c r="P173" s="9">
        <v>2.0666666669999998</v>
      </c>
      <c r="Q173" s="9">
        <v>0.70373155099999996</v>
      </c>
      <c r="R173" s="9">
        <v>0.18170270499999999</v>
      </c>
      <c r="S173" s="33">
        <v>43</v>
      </c>
      <c r="T173" s="14">
        <v>2.06666666666667</v>
      </c>
      <c r="U173" s="8">
        <v>0.691491807283521</v>
      </c>
      <c r="V173" s="8">
        <v>0.12624855372640001</v>
      </c>
      <c r="W173" s="35">
        <v>0.16349206349206349</v>
      </c>
      <c r="X173" s="30">
        <v>12.609999999999985</v>
      </c>
    </row>
    <row r="174" spans="1:24">
      <c r="A174" s="17">
        <v>169</v>
      </c>
      <c r="B174" s="4"/>
      <c r="C174" s="39">
        <v>0</v>
      </c>
      <c r="D174" s="37">
        <v>5</v>
      </c>
      <c r="E174" s="37">
        <v>6</v>
      </c>
      <c r="F174" s="37">
        <v>11</v>
      </c>
      <c r="G174" s="12">
        <v>186.6</v>
      </c>
      <c r="H174" s="12">
        <v>248.8</v>
      </c>
      <c r="I174" s="12">
        <v>261.24</v>
      </c>
      <c r="J174" s="12">
        <v>349.88</v>
      </c>
      <c r="K174" s="39">
        <v>30</v>
      </c>
      <c r="L174" s="8">
        <v>1.6666666666666701</v>
      </c>
      <c r="M174" s="8">
        <v>0.48795003647426699</v>
      </c>
      <c r="N174" s="8">
        <v>0.125988157669742</v>
      </c>
      <c r="O174" s="36">
        <v>26</v>
      </c>
      <c r="P174" s="9">
        <v>2</v>
      </c>
      <c r="Q174" s="9">
        <v>0.53452248400000002</v>
      </c>
      <c r="R174" s="9">
        <v>0.13801311199999999</v>
      </c>
      <c r="S174" s="33">
        <v>50</v>
      </c>
      <c r="T174" s="14">
        <v>1.8333333333333299</v>
      </c>
      <c r="U174" s="8">
        <v>0.53066863050523205</v>
      </c>
      <c r="V174" s="8">
        <v>9.6886393162696594E-2</v>
      </c>
      <c r="W174" s="35">
        <v>2.1150793650793649E-2</v>
      </c>
      <c r="X174" s="30">
        <v>12.439999999999998</v>
      </c>
    </row>
    <row r="175" spans="1:24">
      <c r="A175" s="16">
        <v>170</v>
      </c>
      <c r="B175" s="4"/>
      <c r="C175" s="38">
        <v>0</v>
      </c>
      <c r="D175" s="31">
        <v>5</v>
      </c>
      <c r="E175" s="31">
        <v>6</v>
      </c>
      <c r="F175" s="31">
        <v>12</v>
      </c>
      <c r="G175" s="7">
        <v>182.53</v>
      </c>
      <c r="H175" s="7">
        <v>243.38</v>
      </c>
      <c r="I175" s="7">
        <v>255.55</v>
      </c>
      <c r="J175" s="7">
        <v>365.07</v>
      </c>
      <c r="K175" s="38">
        <v>27</v>
      </c>
      <c r="L175" s="8">
        <v>1.86666666666667</v>
      </c>
      <c r="M175" s="8">
        <v>0.74322335295720698</v>
      </c>
      <c r="N175" s="8">
        <v>0.19189944456771299</v>
      </c>
      <c r="O175" s="32">
        <v>20</v>
      </c>
      <c r="P175" s="9">
        <v>2.4</v>
      </c>
      <c r="Q175" s="9">
        <v>1.1212238210000001</v>
      </c>
      <c r="R175" s="9">
        <v>0.28949874599999997</v>
      </c>
      <c r="S175" s="33">
        <v>41</v>
      </c>
      <c r="T175" s="14">
        <v>2.1333333333333302</v>
      </c>
      <c r="U175" s="8">
        <v>0.97320421124325696</v>
      </c>
      <c r="V175" s="8">
        <v>0.17768196651898499</v>
      </c>
      <c r="W175" s="35">
        <v>0.1380952380952381</v>
      </c>
      <c r="X175" s="30">
        <v>12.170000000000016</v>
      </c>
    </row>
    <row r="176" spans="1:24">
      <c r="A176" s="18">
        <v>171</v>
      </c>
      <c r="B176" s="4" t="s">
        <v>65</v>
      </c>
      <c r="C176" s="38">
        <v>0</v>
      </c>
      <c r="D176" s="31">
        <v>5</v>
      </c>
      <c r="E176" s="31">
        <v>7</v>
      </c>
      <c r="F176" s="31">
        <v>8</v>
      </c>
      <c r="G176" s="7">
        <v>192.61</v>
      </c>
      <c r="H176" s="7">
        <v>256.81</v>
      </c>
      <c r="I176" s="7">
        <v>288.92</v>
      </c>
      <c r="J176" s="7">
        <v>308.18</v>
      </c>
      <c r="K176" s="31">
        <v>30</v>
      </c>
      <c r="L176" s="8">
        <v>1.6666666666666701</v>
      </c>
      <c r="M176" s="8">
        <v>0.61721339984836798</v>
      </c>
      <c r="N176" s="8">
        <v>0.15936381457791901</v>
      </c>
      <c r="O176" s="32">
        <v>19</v>
      </c>
      <c r="P176" s="9">
        <v>2.4666666670000001</v>
      </c>
      <c r="Q176" s="9">
        <v>0.63994047300000001</v>
      </c>
      <c r="R176" s="9">
        <v>0.16523192</v>
      </c>
      <c r="S176" s="33">
        <v>43</v>
      </c>
      <c r="T176" s="14">
        <v>2.06666666666667</v>
      </c>
      <c r="U176" s="8">
        <v>0.73967995564406697</v>
      </c>
      <c r="V176" s="8">
        <v>0.13504646568022499</v>
      </c>
      <c r="W176" s="35">
        <v>7.7777777777777779E-2</v>
      </c>
      <c r="X176" s="30">
        <v>19.259999999999991</v>
      </c>
    </row>
    <row r="177" spans="1:24">
      <c r="A177" s="18">
        <v>172</v>
      </c>
      <c r="B177" s="4" t="s">
        <v>66</v>
      </c>
      <c r="C177" s="38">
        <v>0</v>
      </c>
      <c r="D177" s="31">
        <v>5</v>
      </c>
      <c r="E177" s="31">
        <v>7</v>
      </c>
      <c r="F177" s="31">
        <v>9</v>
      </c>
      <c r="G177" s="7">
        <v>190.28</v>
      </c>
      <c r="H177" s="7">
        <v>253.7</v>
      </c>
      <c r="I177" s="7">
        <v>285.41000000000003</v>
      </c>
      <c r="J177" s="7">
        <v>317.13</v>
      </c>
      <c r="K177" s="31">
        <v>6</v>
      </c>
      <c r="L177" s="8">
        <v>3.3333333333333299</v>
      </c>
      <c r="M177" s="8">
        <v>0.72374686445574599</v>
      </c>
      <c r="N177" s="8">
        <v>0.18687063686046301</v>
      </c>
      <c r="O177" s="32">
        <v>9</v>
      </c>
      <c r="P177" s="9">
        <v>3.1333333329999999</v>
      </c>
      <c r="Q177" s="9">
        <v>1.060098827</v>
      </c>
      <c r="R177" s="9">
        <v>0.27371634</v>
      </c>
      <c r="S177" s="33">
        <v>10</v>
      </c>
      <c r="T177" s="14">
        <v>3.2333333333333298</v>
      </c>
      <c r="U177" s="8">
        <v>0.89763418297031305</v>
      </c>
      <c r="V177" s="8">
        <v>0.16388483013352001</v>
      </c>
      <c r="W177" s="35">
        <v>0.35555555555555557</v>
      </c>
      <c r="X177" s="30">
        <v>31.710000000000036</v>
      </c>
    </row>
    <row r="178" spans="1:24">
      <c r="A178" s="18">
        <v>173</v>
      </c>
      <c r="B178" s="4" t="s">
        <v>67</v>
      </c>
      <c r="C178" s="38">
        <v>0</v>
      </c>
      <c r="D178" s="31">
        <v>5</v>
      </c>
      <c r="E178" s="31">
        <v>7</v>
      </c>
      <c r="F178" s="31">
        <v>10</v>
      </c>
      <c r="G178" s="7">
        <v>185.77</v>
      </c>
      <c r="H178" s="7">
        <v>247.7</v>
      </c>
      <c r="I178" s="7">
        <v>278.66000000000003</v>
      </c>
      <c r="J178" s="7">
        <v>334.39</v>
      </c>
      <c r="K178" s="31">
        <v>16</v>
      </c>
      <c r="L178" s="8">
        <v>2.6</v>
      </c>
      <c r="M178" s="8">
        <v>0.50709255283710997</v>
      </c>
      <c r="N178" s="8">
        <v>0.13093073414159501</v>
      </c>
      <c r="O178" s="32">
        <v>13</v>
      </c>
      <c r="P178" s="9">
        <v>2.8666666670000001</v>
      </c>
      <c r="Q178" s="9">
        <v>1.060098827</v>
      </c>
      <c r="R178" s="9">
        <v>0.27371634</v>
      </c>
      <c r="S178" s="33">
        <v>24</v>
      </c>
      <c r="T178" s="14">
        <v>2.7333333333333298</v>
      </c>
      <c r="U178" s="8">
        <v>0.82768198679466698</v>
      </c>
      <c r="V178" s="8">
        <v>0.15111336486937699</v>
      </c>
      <c r="W178" s="35">
        <v>7.5925925925925924E-2</v>
      </c>
      <c r="X178" s="30">
        <v>30.960000000000036</v>
      </c>
    </row>
    <row r="179" spans="1:24">
      <c r="A179" s="18">
        <v>174</v>
      </c>
      <c r="B179" s="4" t="s">
        <v>54</v>
      </c>
      <c r="C179" s="38">
        <v>0</v>
      </c>
      <c r="D179" s="31">
        <v>5</v>
      </c>
      <c r="E179" s="31">
        <v>7</v>
      </c>
      <c r="F179" s="31">
        <v>11</v>
      </c>
      <c r="G179" s="7">
        <v>183.33</v>
      </c>
      <c r="H179" s="7">
        <v>244.44</v>
      </c>
      <c r="I179" s="7">
        <v>275</v>
      </c>
      <c r="J179" s="7">
        <v>343.75</v>
      </c>
      <c r="K179" s="31">
        <v>18</v>
      </c>
      <c r="L179" s="8">
        <v>2.4666666666666699</v>
      </c>
      <c r="M179" s="8">
        <v>0.74322335295720698</v>
      </c>
      <c r="N179" s="8">
        <v>0.19189944456771299</v>
      </c>
      <c r="O179" s="32">
        <v>14</v>
      </c>
      <c r="P179" s="9">
        <v>2.8</v>
      </c>
      <c r="Q179" s="9">
        <v>0.67612340400000004</v>
      </c>
      <c r="R179" s="9">
        <v>0.17457431200000001</v>
      </c>
      <c r="S179" s="33">
        <v>26</v>
      </c>
      <c r="T179" s="14">
        <v>2.6333333333333302</v>
      </c>
      <c r="U179" s="8">
        <v>0.71839540228413801</v>
      </c>
      <c r="V179" s="8">
        <v>0.13116045567967399</v>
      </c>
      <c r="W179" s="35">
        <v>9.3055555555555558E-2</v>
      </c>
      <c r="X179" s="30">
        <v>30.560000000000002</v>
      </c>
    </row>
    <row r="180" spans="1:24">
      <c r="A180" s="16">
        <v>175</v>
      </c>
      <c r="B180" s="4" t="s">
        <v>68</v>
      </c>
      <c r="C180" s="38">
        <v>0</v>
      </c>
      <c r="D180" s="31">
        <v>5</v>
      </c>
      <c r="E180" s="31">
        <v>7</v>
      </c>
      <c r="F180" s="31">
        <v>12</v>
      </c>
      <c r="G180" s="7">
        <v>179.4</v>
      </c>
      <c r="H180" s="7">
        <v>239.2</v>
      </c>
      <c r="I180" s="7">
        <v>269.11</v>
      </c>
      <c r="J180" s="7">
        <v>358.81</v>
      </c>
      <c r="K180" s="38">
        <v>4</v>
      </c>
      <c r="L180" s="8">
        <v>3.5333333333333301</v>
      </c>
      <c r="M180" s="8">
        <v>0.51639777949432197</v>
      </c>
      <c r="N180" s="8">
        <v>0.133333333333333</v>
      </c>
      <c r="O180" s="32">
        <v>5</v>
      </c>
      <c r="P180" s="9">
        <v>3.4666666670000001</v>
      </c>
      <c r="Q180" s="9">
        <v>0.63994047300000001</v>
      </c>
      <c r="R180" s="9">
        <v>0.16523192</v>
      </c>
      <c r="S180" s="33">
        <v>5</v>
      </c>
      <c r="T180" s="14">
        <v>3.5</v>
      </c>
      <c r="U180" s="8">
        <v>0.572351471472339</v>
      </c>
      <c r="V180" s="8">
        <v>0.104496603915558</v>
      </c>
      <c r="W180" s="35">
        <v>0.30555555555555558</v>
      </c>
      <c r="X180" s="30">
        <v>29.910000000000025</v>
      </c>
    </row>
    <row r="181" spans="1:24">
      <c r="A181" s="16">
        <v>176</v>
      </c>
      <c r="B181" s="4"/>
      <c r="C181" s="38">
        <v>0</v>
      </c>
      <c r="D181" s="31">
        <v>5</v>
      </c>
      <c r="E181" s="31">
        <v>8</v>
      </c>
      <c r="F181" s="31">
        <v>9</v>
      </c>
      <c r="G181" s="7">
        <v>186.88</v>
      </c>
      <c r="H181" s="7">
        <v>249.17</v>
      </c>
      <c r="I181" s="7">
        <v>299.01</v>
      </c>
      <c r="J181" s="7">
        <v>311.45999999999998</v>
      </c>
      <c r="K181" s="38">
        <v>34</v>
      </c>
      <c r="L181" s="8">
        <v>1.4</v>
      </c>
      <c r="M181" s="8">
        <v>0.50709255283710997</v>
      </c>
      <c r="N181" s="8">
        <v>0.13093073414159501</v>
      </c>
      <c r="O181" s="31">
        <v>25</v>
      </c>
      <c r="P181" s="9">
        <v>2.0666666669999998</v>
      </c>
      <c r="Q181" s="9">
        <v>0.88371510200000003</v>
      </c>
      <c r="R181" s="9">
        <v>0.22817425799999999</v>
      </c>
      <c r="S181" s="33">
        <v>53</v>
      </c>
      <c r="T181" s="14">
        <v>1.7333333333333301</v>
      </c>
      <c r="U181" s="8">
        <v>0.78491525276490104</v>
      </c>
      <c r="V181" s="8">
        <v>0.143305263223069</v>
      </c>
      <c r="W181" s="35">
        <v>0.15333333333333332</v>
      </c>
      <c r="X181" s="30">
        <v>12.449999999999989</v>
      </c>
    </row>
    <row r="182" spans="1:24">
      <c r="A182" s="15">
        <v>177</v>
      </c>
      <c r="B182" s="4"/>
      <c r="C182" s="32">
        <v>0</v>
      </c>
      <c r="D182" s="31">
        <v>5</v>
      </c>
      <c r="E182" s="31">
        <v>8</v>
      </c>
      <c r="F182" s="31">
        <v>10</v>
      </c>
      <c r="G182" s="7">
        <v>182.53</v>
      </c>
      <c r="H182" s="7">
        <v>243.38</v>
      </c>
      <c r="I182" s="7">
        <v>292.05</v>
      </c>
      <c r="J182" s="7">
        <v>328.56</v>
      </c>
      <c r="K182" s="40">
        <v>18</v>
      </c>
      <c r="L182" s="8">
        <v>2.4666666666666699</v>
      </c>
      <c r="M182" s="8">
        <v>0.63994047342218396</v>
      </c>
      <c r="N182" s="8">
        <v>0.16523191974188101</v>
      </c>
      <c r="O182" s="32">
        <v>16</v>
      </c>
      <c r="P182" s="9">
        <v>2.6666666669999999</v>
      </c>
      <c r="Q182" s="9">
        <v>0.61721340000000002</v>
      </c>
      <c r="R182" s="9">
        <v>0.15936381499999999</v>
      </c>
      <c r="S182" s="33">
        <v>28</v>
      </c>
      <c r="T182" s="14">
        <v>2.56666666666667</v>
      </c>
      <c r="U182" s="8">
        <v>0.62606231557929304</v>
      </c>
      <c r="V182" s="8">
        <v>0.114302817548899</v>
      </c>
      <c r="W182" s="35">
        <v>0.15925925925925927</v>
      </c>
      <c r="X182" s="30">
        <v>36.509999999999991</v>
      </c>
    </row>
    <row r="183" spans="1:24">
      <c r="A183" s="15">
        <v>178</v>
      </c>
      <c r="B183" s="4"/>
      <c r="C183" s="32">
        <v>0</v>
      </c>
      <c r="D183" s="31">
        <v>5</v>
      </c>
      <c r="E183" s="31">
        <v>8</v>
      </c>
      <c r="F183" s="31">
        <v>11</v>
      </c>
      <c r="G183" s="7">
        <v>180.18</v>
      </c>
      <c r="H183" s="7">
        <v>240.23</v>
      </c>
      <c r="I183" s="7">
        <v>288.27999999999997</v>
      </c>
      <c r="J183" s="7">
        <v>337.83</v>
      </c>
      <c r="K183" s="40">
        <v>30</v>
      </c>
      <c r="L183" s="8">
        <v>1.6666666666666701</v>
      </c>
      <c r="M183" s="8">
        <v>0.48795003647426699</v>
      </c>
      <c r="N183" s="8">
        <v>0.125988157669742</v>
      </c>
      <c r="O183" s="32">
        <v>23</v>
      </c>
      <c r="P183" s="9">
        <v>2.2000000000000002</v>
      </c>
      <c r="Q183" s="9">
        <v>0.56061191099999996</v>
      </c>
      <c r="R183" s="9">
        <v>0.14474937299999999</v>
      </c>
      <c r="S183" s="33">
        <v>47</v>
      </c>
      <c r="T183" s="14">
        <v>1.93333333333333</v>
      </c>
      <c r="U183" s="8">
        <v>0.58329228098567498</v>
      </c>
      <c r="V183" s="8">
        <v>0.10649411330483199</v>
      </c>
      <c r="W183" s="35">
        <v>2.0555555555555556E-2</v>
      </c>
      <c r="X183" s="30">
        <v>48.049999999999983</v>
      </c>
    </row>
    <row r="184" spans="1:24">
      <c r="A184" s="15">
        <v>179</v>
      </c>
      <c r="B184" s="4"/>
      <c r="C184" s="32">
        <v>0</v>
      </c>
      <c r="D184" s="31">
        <v>5</v>
      </c>
      <c r="E184" s="31">
        <v>8</v>
      </c>
      <c r="F184" s="31">
        <v>12</v>
      </c>
      <c r="G184" s="7">
        <v>176.38</v>
      </c>
      <c r="H184" s="7">
        <v>235.17</v>
      </c>
      <c r="I184" s="7">
        <v>282.20999999999998</v>
      </c>
      <c r="J184" s="7">
        <v>352.76</v>
      </c>
      <c r="K184" s="40">
        <v>5</v>
      </c>
      <c r="L184" s="8">
        <v>3.4666666666666699</v>
      </c>
      <c r="M184" s="8">
        <v>0.63994047342218496</v>
      </c>
      <c r="N184" s="8">
        <v>0.16523191974188101</v>
      </c>
      <c r="O184" s="32">
        <v>7</v>
      </c>
      <c r="P184" s="9">
        <v>3.3333333330000001</v>
      </c>
      <c r="Q184" s="9">
        <v>0.61721340000000002</v>
      </c>
      <c r="R184" s="9">
        <v>0.15936381499999999</v>
      </c>
      <c r="S184" s="33">
        <v>7</v>
      </c>
      <c r="T184" s="14">
        <v>3.4</v>
      </c>
      <c r="U184" s="8">
        <v>0.62145546626586501</v>
      </c>
      <c r="V184" s="8">
        <v>0.11346172578623499</v>
      </c>
      <c r="W184" s="35">
        <v>0.13333333333333333</v>
      </c>
      <c r="X184" s="30">
        <v>47.039999999999992</v>
      </c>
    </row>
    <row r="185" spans="1:24">
      <c r="A185" s="13">
        <v>180</v>
      </c>
      <c r="B185" s="4"/>
      <c r="C185" s="36">
        <v>0</v>
      </c>
      <c r="D185" s="37">
        <v>5</v>
      </c>
      <c r="E185" s="37">
        <v>9</v>
      </c>
      <c r="F185" s="37">
        <v>10</v>
      </c>
      <c r="G185" s="12">
        <v>180.43</v>
      </c>
      <c r="H185" s="12">
        <v>240.58</v>
      </c>
      <c r="I185" s="12">
        <v>300.72000000000003</v>
      </c>
      <c r="J185" s="12">
        <v>324.77999999999997</v>
      </c>
      <c r="K185" s="34">
        <v>27</v>
      </c>
      <c r="L185" s="8">
        <v>1.86666666666667</v>
      </c>
      <c r="M185" s="8">
        <v>0.74322335295720698</v>
      </c>
      <c r="N185" s="8">
        <v>0.19189944456771299</v>
      </c>
      <c r="O185" s="39">
        <v>17</v>
      </c>
      <c r="P185" s="9">
        <v>2.6</v>
      </c>
      <c r="Q185" s="9">
        <v>0.82807867099999999</v>
      </c>
      <c r="R185" s="9">
        <v>0.213808994</v>
      </c>
      <c r="S185" s="33">
        <v>38</v>
      </c>
      <c r="T185" s="14">
        <v>2.2333333333333298</v>
      </c>
      <c r="U185" s="8">
        <v>0.85835983666257498</v>
      </c>
      <c r="V185" s="8">
        <v>0.15671434833218101</v>
      </c>
      <c r="W185" s="35">
        <v>0.14962962962962964</v>
      </c>
      <c r="X185" s="30">
        <v>24.059999999999945</v>
      </c>
    </row>
    <row r="186" spans="1:24">
      <c r="A186" s="15">
        <v>181</v>
      </c>
      <c r="B186" s="4"/>
      <c r="C186" s="32">
        <v>0</v>
      </c>
      <c r="D186" s="31">
        <v>5</v>
      </c>
      <c r="E186" s="31">
        <v>9</v>
      </c>
      <c r="F186" s="31">
        <v>11</v>
      </c>
      <c r="G186" s="7">
        <v>178.13</v>
      </c>
      <c r="H186" s="7">
        <v>237.51</v>
      </c>
      <c r="I186" s="7">
        <v>296.89</v>
      </c>
      <c r="J186" s="7">
        <v>334</v>
      </c>
      <c r="K186" s="40">
        <v>23</v>
      </c>
      <c r="L186" s="8">
        <v>2.1333333333333302</v>
      </c>
      <c r="M186" s="8">
        <v>0.74322335295720698</v>
      </c>
      <c r="N186" s="8">
        <v>0.19189944456771299</v>
      </c>
      <c r="O186" s="31">
        <v>16</v>
      </c>
      <c r="P186" s="9">
        <v>2.6666666669999999</v>
      </c>
      <c r="Q186" s="9">
        <v>0.72374686399999999</v>
      </c>
      <c r="R186" s="9">
        <v>0.18687063700000001</v>
      </c>
      <c r="S186" s="33">
        <v>33</v>
      </c>
      <c r="T186" s="14">
        <v>2.4</v>
      </c>
      <c r="U186" s="8">
        <v>0.77013209793895898</v>
      </c>
      <c r="V186" s="8">
        <v>0.14060624076664899</v>
      </c>
      <c r="W186" s="35">
        <v>9.4444444444444442E-2</v>
      </c>
      <c r="X186" s="30">
        <v>37.110000000000014</v>
      </c>
    </row>
    <row r="187" spans="1:24">
      <c r="A187" s="13">
        <v>182</v>
      </c>
      <c r="B187" s="4"/>
      <c r="C187" s="36">
        <v>0</v>
      </c>
      <c r="D187" s="37">
        <v>5</v>
      </c>
      <c r="E187" s="37">
        <v>9</v>
      </c>
      <c r="F187" s="37">
        <v>12</v>
      </c>
      <c r="G187" s="12">
        <v>174.42</v>
      </c>
      <c r="H187" s="12">
        <v>232.56</v>
      </c>
      <c r="I187" s="12">
        <v>290.7</v>
      </c>
      <c r="J187" s="12">
        <v>348.84</v>
      </c>
      <c r="K187" s="34">
        <v>1</v>
      </c>
      <c r="L187" s="8">
        <v>4</v>
      </c>
      <c r="M187" s="8">
        <v>0</v>
      </c>
      <c r="N187" s="8">
        <v>0</v>
      </c>
      <c r="O187" s="39">
        <v>3</v>
      </c>
      <c r="P187" s="9">
        <v>3.6</v>
      </c>
      <c r="Q187" s="9">
        <v>0.82807867099999999</v>
      </c>
      <c r="R187" s="9">
        <v>0.213808994</v>
      </c>
      <c r="S187" s="33">
        <v>2</v>
      </c>
      <c r="T187" s="14">
        <v>3.8</v>
      </c>
      <c r="U187" s="8">
        <v>0.61025715325872998</v>
      </c>
      <c r="V187" s="8">
        <v>0.111417202906231</v>
      </c>
      <c r="W187" s="35">
        <v>0.6</v>
      </c>
      <c r="X187" s="30">
        <v>58.139999999999986</v>
      </c>
    </row>
    <row r="188" spans="1:24">
      <c r="A188" s="15">
        <v>183</v>
      </c>
      <c r="B188" s="4"/>
      <c r="C188" s="32">
        <v>0</v>
      </c>
      <c r="D188" s="31">
        <v>5</v>
      </c>
      <c r="E188" s="31">
        <v>10</v>
      </c>
      <c r="F188" s="31">
        <v>11</v>
      </c>
      <c r="G188" s="7">
        <v>174.18</v>
      </c>
      <c r="H188" s="7">
        <v>232.24</v>
      </c>
      <c r="I188" s="7">
        <v>313.52</v>
      </c>
      <c r="J188" s="7">
        <v>326.58</v>
      </c>
      <c r="K188" s="40">
        <v>36</v>
      </c>
      <c r="L188" s="8">
        <v>1.2666666666666699</v>
      </c>
      <c r="M188" s="8">
        <v>0.457737708217064</v>
      </c>
      <c r="N188" s="8">
        <v>0.118187368057056</v>
      </c>
      <c r="O188" s="31">
        <v>31</v>
      </c>
      <c r="P188" s="9">
        <v>1.6666666670000001</v>
      </c>
      <c r="Q188" s="9">
        <v>0.48795003599999998</v>
      </c>
      <c r="R188" s="9">
        <v>0.12598815799999999</v>
      </c>
      <c r="S188" s="33">
        <v>61</v>
      </c>
      <c r="T188" s="14">
        <v>1.4666666666666699</v>
      </c>
      <c r="U188" s="8">
        <v>0.50741626340492496</v>
      </c>
      <c r="V188" s="8">
        <v>9.2641111170620197E-2</v>
      </c>
      <c r="W188" s="35">
        <v>2.0092592592592592E-2</v>
      </c>
      <c r="X188" s="30">
        <v>13.060000000000002</v>
      </c>
    </row>
    <row r="189" spans="1:24">
      <c r="A189" s="15">
        <v>184</v>
      </c>
      <c r="B189" s="4" t="s">
        <v>44</v>
      </c>
      <c r="C189" s="32">
        <v>0</v>
      </c>
      <c r="D189" s="31">
        <v>5</v>
      </c>
      <c r="E189" s="31">
        <v>10</v>
      </c>
      <c r="F189" s="31">
        <v>12</v>
      </c>
      <c r="G189" s="7">
        <v>170.63</v>
      </c>
      <c r="H189" s="7">
        <v>227.5</v>
      </c>
      <c r="I189" s="7">
        <v>307.13</v>
      </c>
      <c r="J189" s="7">
        <v>341.26</v>
      </c>
      <c r="K189" s="40">
        <v>12</v>
      </c>
      <c r="L189" s="8">
        <v>2.8666666666666698</v>
      </c>
      <c r="M189" s="8">
        <v>0.63994047342218396</v>
      </c>
      <c r="N189" s="8">
        <v>0.16523191974188101</v>
      </c>
      <c r="O189" s="38">
        <v>6</v>
      </c>
      <c r="P189" s="9">
        <v>3.4</v>
      </c>
      <c r="Q189" s="9">
        <v>0.507092553</v>
      </c>
      <c r="R189" s="9">
        <v>0.13093073399999999</v>
      </c>
      <c r="S189" s="33">
        <v>12</v>
      </c>
      <c r="T189" s="14">
        <v>3.1333333333333302</v>
      </c>
      <c r="U189" s="8">
        <v>0.62881022482985605</v>
      </c>
      <c r="V189" s="8">
        <v>0.114804514843069</v>
      </c>
      <c r="W189" s="35">
        <v>0.12962962962962962</v>
      </c>
      <c r="X189" s="30">
        <v>34.129999999999995</v>
      </c>
    </row>
    <row r="190" spans="1:24">
      <c r="A190" s="15">
        <v>185</v>
      </c>
      <c r="B190" s="4"/>
      <c r="C190" s="32">
        <v>0</v>
      </c>
      <c r="D190" s="31">
        <v>5</v>
      </c>
      <c r="E190" s="31">
        <v>11</v>
      </c>
      <c r="F190" s="31">
        <v>12</v>
      </c>
      <c r="G190" s="7">
        <v>168.57</v>
      </c>
      <c r="H190" s="7">
        <v>224.76</v>
      </c>
      <c r="I190" s="7">
        <v>316.06</v>
      </c>
      <c r="J190" s="7">
        <v>337.13</v>
      </c>
      <c r="K190" s="40">
        <v>23</v>
      </c>
      <c r="L190" s="8">
        <v>2.1333333333333302</v>
      </c>
      <c r="M190" s="8">
        <v>0.74322335295720698</v>
      </c>
      <c r="N190" s="8">
        <v>0.19189944456771299</v>
      </c>
      <c r="O190" s="38">
        <v>22</v>
      </c>
      <c r="P190" s="9">
        <v>2.266666667</v>
      </c>
      <c r="Q190" s="9">
        <v>0.59361684000000003</v>
      </c>
      <c r="R190" s="9">
        <v>0.15327120899999999</v>
      </c>
      <c r="S190" s="33">
        <v>39</v>
      </c>
      <c r="T190" s="14">
        <v>2.2000000000000002</v>
      </c>
      <c r="U190" s="8">
        <v>0.66436383882992001</v>
      </c>
      <c r="V190" s="8">
        <v>0.12129568697262499</v>
      </c>
      <c r="W190" s="35">
        <v>8.1944444444444445E-2</v>
      </c>
      <c r="X190" s="30">
        <v>21.069999999999993</v>
      </c>
    </row>
    <row r="191" spans="1:24">
      <c r="A191" s="15">
        <v>186</v>
      </c>
      <c r="B191" s="4"/>
      <c r="C191" s="32">
        <v>0</v>
      </c>
      <c r="D191" s="31">
        <v>6</v>
      </c>
      <c r="E191" s="31">
        <v>7</v>
      </c>
      <c r="F191" s="31">
        <v>8</v>
      </c>
      <c r="G191" s="7">
        <v>190.28</v>
      </c>
      <c r="H191" s="7">
        <v>266.39</v>
      </c>
      <c r="I191" s="7">
        <v>285.41000000000003</v>
      </c>
      <c r="J191" s="7">
        <v>304.44</v>
      </c>
      <c r="K191" s="40">
        <v>25</v>
      </c>
      <c r="L191" s="8">
        <v>2</v>
      </c>
      <c r="M191" s="8">
        <v>0.75592894601845395</v>
      </c>
      <c r="N191" s="8">
        <v>0.19518001458970699</v>
      </c>
      <c r="O191" s="38">
        <v>25</v>
      </c>
      <c r="P191" s="9">
        <v>2.0666666669999998</v>
      </c>
      <c r="Q191" s="9">
        <v>0.59361684000000003</v>
      </c>
      <c r="R191" s="9">
        <v>0.15327120899999999</v>
      </c>
      <c r="S191" s="33">
        <v>44</v>
      </c>
      <c r="T191" s="14">
        <v>2.0333333333333301</v>
      </c>
      <c r="U191" s="8">
        <v>0.66867513545937196</v>
      </c>
      <c r="V191" s="8">
        <v>0.12208281844464</v>
      </c>
      <c r="W191" s="35">
        <v>0.23333333333333334</v>
      </c>
      <c r="X191" s="30">
        <v>19.020000000000039</v>
      </c>
    </row>
    <row r="192" spans="1:24">
      <c r="A192" s="15">
        <v>187</v>
      </c>
      <c r="B192" s="4"/>
      <c r="C192" s="32">
        <v>0</v>
      </c>
      <c r="D192" s="31">
        <v>6</v>
      </c>
      <c r="E192" s="31">
        <v>7</v>
      </c>
      <c r="F192" s="31">
        <v>9</v>
      </c>
      <c r="G192" s="7">
        <v>188</v>
      </c>
      <c r="H192" s="7">
        <v>263.2</v>
      </c>
      <c r="I192" s="7">
        <v>282</v>
      </c>
      <c r="J192" s="7">
        <v>313.33</v>
      </c>
      <c r="K192" s="40">
        <v>26</v>
      </c>
      <c r="L192" s="8">
        <v>1.93333333333333</v>
      </c>
      <c r="M192" s="8">
        <v>0.79880863671797997</v>
      </c>
      <c r="N192" s="8">
        <v>0.206251503121026</v>
      </c>
      <c r="O192" s="38">
        <v>23</v>
      </c>
      <c r="P192" s="9">
        <v>2.2000000000000002</v>
      </c>
      <c r="Q192" s="9">
        <v>0.41403933599999998</v>
      </c>
      <c r="R192" s="9">
        <v>0.106904497</v>
      </c>
      <c r="S192" s="33">
        <v>43</v>
      </c>
      <c r="T192" s="14">
        <v>2.06666666666667</v>
      </c>
      <c r="U192" s="8">
        <v>0.63968382994949202</v>
      </c>
      <c r="V192" s="8">
        <v>0.116789754444879</v>
      </c>
      <c r="W192" s="35">
        <v>7.6825396825396824E-2</v>
      </c>
      <c r="X192" s="30">
        <v>18.800000000000011</v>
      </c>
    </row>
    <row r="193" spans="1:24">
      <c r="A193" s="15">
        <v>188</v>
      </c>
      <c r="B193" s="4"/>
      <c r="C193" s="32">
        <v>0</v>
      </c>
      <c r="D193" s="31">
        <v>6</v>
      </c>
      <c r="E193" s="31">
        <v>7</v>
      </c>
      <c r="F193" s="31">
        <v>10</v>
      </c>
      <c r="G193" s="7">
        <v>183.6</v>
      </c>
      <c r="H193" s="7">
        <v>257.04000000000002</v>
      </c>
      <c r="I193" s="7">
        <v>275.39999999999998</v>
      </c>
      <c r="J193" s="7">
        <v>330.48</v>
      </c>
      <c r="K193" s="40">
        <v>28</v>
      </c>
      <c r="L193" s="8">
        <v>1.8</v>
      </c>
      <c r="M193" s="8">
        <v>0.77459666924148296</v>
      </c>
      <c r="N193" s="8">
        <v>0.2</v>
      </c>
      <c r="O193" s="31">
        <v>30</v>
      </c>
      <c r="P193" s="9">
        <v>1.733333333</v>
      </c>
      <c r="Q193" s="9">
        <v>0.70373155099999996</v>
      </c>
      <c r="R193" s="9">
        <v>0.18170270499999999</v>
      </c>
      <c r="S193" s="33">
        <v>52</v>
      </c>
      <c r="T193" s="14">
        <v>1.7666666666666699</v>
      </c>
      <c r="U193" s="8">
        <v>0.72793204179460602</v>
      </c>
      <c r="V193" s="8">
        <v>0.13290159987389999</v>
      </c>
      <c r="W193" s="35">
        <v>0.22857142857142856</v>
      </c>
      <c r="X193" s="30">
        <v>18.359999999999957</v>
      </c>
    </row>
    <row r="194" spans="1:24">
      <c r="A194" s="15">
        <v>189</v>
      </c>
      <c r="B194" s="4"/>
      <c r="C194" s="32">
        <v>0</v>
      </c>
      <c r="D194" s="31">
        <v>6</v>
      </c>
      <c r="E194" s="31">
        <v>7</v>
      </c>
      <c r="F194" s="31">
        <v>11</v>
      </c>
      <c r="G194" s="7">
        <v>181.22</v>
      </c>
      <c r="H194" s="7">
        <v>253.7</v>
      </c>
      <c r="I194" s="7">
        <v>271.82</v>
      </c>
      <c r="J194" s="7">
        <v>339.78</v>
      </c>
      <c r="K194" s="40">
        <v>28</v>
      </c>
      <c r="L194" s="8">
        <v>1.8</v>
      </c>
      <c r="M194" s="8">
        <v>0.56061191058138804</v>
      </c>
      <c r="N194" s="8">
        <v>0.144749372891149</v>
      </c>
      <c r="O194" s="38">
        <v>16</v>
      </c>
      <c r="P194" s="9">
        <v>2.6666666669999999</v>
      </c>
      <c r="Q194" s="9">
        <v>0.816496581</v>
      </c>
      <c r="R194" s="9">
        <v>0.21081851099999999</v>
      </c>
      <c r="S194" s="33">
        <v>38</v>
      </c>
      <c r="T194" s="14">
        <v>2.2333333333333298</v>
      </c>
      <c r="U194" s="8">
        <v>0.81720015415687697</v>
      </c>
      <c r="V194" s="8">
        <v>0.149199652809474</v>
      </c>
      <c r="W194" s="35">
        <v>5.7619047619047618E-2</v>
      </c>
      <c r="X194" s="30">
        <v>18.120000000000005</v>
      </c>
    </row>
    <row r="195" spans="1:24">
      <c r="A195" s="15">
        <v>190</v>
      </c>
      <c r="B195" s="4" t="s">
        <v>38</v>
      </c>
      <c r="C195" s="32">
        <v>0</v>
      </c>
      <c r="D195" s="31">
        <v>6</v>
      </c>
      <c r="E195" s="31">
        <v>7</v>
      </c>
      <c r="F195" s="31">
        <v>12</v>
      </c>
      <c r="G195" s="7">
        <v>177.38</v>
      </c>
      <c r="H195" s="7">
        <v>248.33</v>
      </c>
      <c r="I195" s="7">
        <v>266.06</v>
      </c>
      <c r="J195" s="7">
        <v>354.75</v>
      </c>
      <c r="K195" s="40">
        <v>23</v>
      </c>
      <c r="L195" s="8">
        <v>2.1333333333333302</v>
      </c>
      <c r="M195" s="8">
        <v>0.74322335295720698</v>
      </c>
      <c r="N195" s="8">
        <v>0.19189944456771299</v>
      </c>
      <c r="O195" s="38">
        <v>14</v>
      </c>
      <c r="P195" s="9">
        <v>2.8</v>
      </c>
      <c r="Q195" s="9">
        <v>0.77459666900000002</v>
      </c>
      <c r="R195" s="9">
        <v>0.2</v>
      </c>
      <c r="S195" s="33">
        <v>31</v>
      </c>
      <c r="T195" s="14">
        <v>2.4666666666666699</v>
      </c>
      <c r="U195" s="8">
        <v>0.81930724872668603</v>
      </c>
      <c r="V195" s="8">
        <v>0.14958435388503399</v>
      </c>
      <c r="W195" s="35">
        <v>0.19047619047619047</v>
      </c>
      <c r="X195" s="30">
        <v>17.72999999999999</v>
      </c>
    </row>
    <row r="196" spans="1:24">
      <c r="A196" s="15">
        <v>191</v>
      </c>
      <c r="B196" s="4"/>
      <c r="C196" s="32">
        <v>0</v>
      </c>
      <c r="D196" s="31">
        <v>6</v>
      </c>
      <c r="E196" s="31">
        <v>8</v>
      </c>
      <c r="F196" s="31">
        <v>9</v>
      </c>
      <c r="G196" s="7">
        <v>184.68</v>
      </c>
      <c r="H196" s="7">
        <v>258.55</v>
      </c>
      <c r="I196" s="7">
        <v>295.49</v>
      </c>
      <c r="J196" s="7">
        <v>307.8</v>
      </c>
      <c r="K196" s="40">
        <v>36</v>
      </c>
      <c r="L196" s="8">
        <v>1.2666666666666699</v>
      </c>
      <c r="M196" s="8">
        <v>0.457737708217064</v>
      </c>
      <c r="N196" s="8">
        <v>0.118187368057056</v>
      </c>
      <c r="O196" s="38">
        <v>33</v>
      </c>
      <c r="P196" s="9">
        <v>1.5333333330000001</v>
      </c>
      <c r="Q196" s="9">
        <v>0.74322335299999998</v>
      </c>
      <c r="R196" s="9">
        <v>0.191899445</v>
      </c>
      <c r="S196" s="33">
        <v>63</v>
      </c>
      <c r="T196" s="14">
        <v>1.4</v>
      </c>
      <c r="U196" s="8">
        <v>0.62145546626586601</v>
      </c>
      <c r="V196" s="8">
        <v>0.11346172578623499</v>
      </c>
      <c r="W196" s="35">
        <v>0.16</v>
      </c>
      <c r="X196" s="30">
        <v>12.310000000000002</v>
      </c>
    </row>
    <row r="197" spans="1:24">
      <c r="A197" s="13">
        <v>192</v>
      </c>
      <c r="B197" s="4"/>
      <c r="C197" s="36">
        <v>0</v>
      </c>
      <c r="D197" s="37">
        <v>6</v>
      </c>
      <c r="E197" s="37">
        <v>8</v>
      </c>
      <c r="F197" s="37">
        <v>10</v>
      </c>
      <c r="G197" s="12">
        <v>180.43</v>
      </c>
      <c r="H197" s="12">
        <v>252.61</v>
      </c>
      <c r="I197" s="12">
        <v>288.7</v>
      </c>
      <c r="J197" s="12">
        <v>324.77999999999997</v>
      </c>
      <c r="K197" s="34">
        <v>21</v>
      </c>
      <c r="L197" s="8">
        <v>2.2666666666666702</v>
      </c>
      <c r="M197" s="8">
        <v>0.70373155054899705</v>
      </c>
      <c r="N197" s="8">
        <v>0.181702705031799</v>
      </c>
      <c r="O197" s="39">
        <v>24</v>
      </c>
      <c r="P197" s="9">
        <v>2.1333333329999999</v>
      </c>
      <c r="Q197" s="9">
        <v>0.83380938800000004</v>
      </c>
      <c r="R197" s="9">
        <v>0.21528865799999999</v>
      </c>
      <c r="S197" s="33">
        <v>39</v>
      </c>
      <c r="T197" s="14">
        <v>2.2000000000000002</v>
      </c>
      <c r="U197" s="8">
        <v>0.76112439510738805</v>
      </c>
      <c r="V197" s="8">
        <v>0.13896166675593</v>
      </c>
      <c r="W197" s="35">
        <v>0.46666666666666667</v>
      </c>
      <c r="X197" s="30">
        <v>36.079999999999984</v>
      </c>
    </row>
    <row r="198" spans="1:24">
      <c r="A198" s="15">
        <v>193</v>
      </c>
      <c r="B198" s="4"/>
      <c r="C198" s="32">
        <v>0</v>
      </c>
      <c r="D198" s="31">
        <v>6</v>
      </c>
      <c r="E198" s="31">
        <v>8</v>
      </c>
      <c r="F198" s="31">
        <v>11</v>
      </c>
      <c r="G198" s="7">
        <v>178.13</v>
      </c>
      <c r="H198" s="7">
        <v>249.38</v>
      </c>
      <c r="I198" s="7">
        <v>285.01</v>
      </c>
      <c r="J198" s="7">
        <v>334</v>
      </c>
      <c r="K198" s="40">
        <v>29</v>
      </c>
      <c r="L198" s="8">
        <v>1.7333333333333301</v>
      </c>
      <c r="M198" s="8">
        <v>0.457737708217064</v>
      </c>
      <c r="N198" s="8">
        <v>0.118187368057056</v>
      </c>
      <c r="O198" s="38">
        <v>23</v>
      </c>
      <c r="P198" s="9">
        <v>2.2000000000000002</v>
      </c>
      <c r="Q198" s="9">
        <v>0.56061191099999996</v>
      </c>
      <c r="R198" s="9">
        <v>0.14474937299999999</v>
      </c>
      <c r="S198" s="33">
        <v>46</v>
      </c>
      <c r="T198" s="14">
        <v>1.9666666666666699</v>
      </c>
      <c r="U198" s="8">
        <v>0.55605341676753595</v>
      </c>
      <c r="V198" s="8">
        <v>0.101520999847134</v>
      </c>
      <c r="W198" s="35">
        <v>6.1666666666666668E-2</v>
      </c>
      <c r="X198" s="30">
        <v>35.629999999999995</v>
      </c>
    </row>
    <row r="199" spans="1:24">
      <c r="A199" s="15">
        <v>194</v>
      </c>
      <c r="B199" s="4"/>
      <c r="C199" s="32">
        <v>0</v>
      </c>
      <c r="D199" s="31">
        <v>6</v>
      </c>
      <c r="E199" s="31">
        <v>8</v>
      </c>
      <c r="F199" s="31">
        <v>12</v>
      </c>
      <c r="G199" s="7">
        <v>174.42</v>
      </c>
      <c r="H199" s="7">
        <v>244.19</v>
      </c>
      <c r="I199" s="7">
        <v>279.07</v>
      </c>
      <c r="J199" s="7">
        <v>348.84</v>
      </c>
      <c r="K199" s="40">
        <v>13</v>
      </c>
      <c r="L199" s="8">
        <v>2.8</v>
      </c>
      <c r="M199" s="8">
        <v>0.67612340378281299</v>
      </c>
      <c r="N199" s="8">
        <v>0.17457431218879399</v>
      </c>
      <c r="O199" s="31">
        <v>7</v>
      </c>
      <c r="P199" s="9">
        <v>3.3333333330000001</v>
      </c>
      <c r="Q199" s="9">
        <v>0.48795003599999998</v>
      </c>
      <c r="R199" s="9">
        <v>0.12598815799999999</v>
      </c>
      <c r="S199" s="33">
        <v>14</v>
      </c>
      <c r="T199" s="14">
        <v>3.06666666666667</v>
      </c>
      <c r="U199" s="8">
        <v>0.63968382994949202</v>
      </c>
      <c r="V199" s="8">
        <v>0.116789754444879</v>
      </c>
      <c r="W199" s="35">
        <v>0.4</v>
      </c>
      <c r="X199" s="30">
        <v>34.879999999999995</v>
      </c>
    </row>
    <row r="200" spans="1:24">
      <c r="A200" s="15">
        <v>195</v>
      </c>
      <c r="B200" s="4"/>
      <c r="C200" s="32">
        <v>0</v>
      </c>
      <c r="D200" s="31">
        <v>6</v>
      </c>
      <c r="E200" s="31">
        <v>9</v>
      </c>
      <c r="F200" s="31">
        <v>10</v>
      </c>
      <c r="G200" s="7">
        <v>178.38</v>
      </c>
      <c r="H200" s="7">
        <v>249.74</v>
      </c>
      <c r="I200" s="7">
        <v>297.31</v>
      </c>
      <c r="J200" s="7">
        <v>321.08999999999997</v>
      </c>
      <c r="K200" s="40">
        <v>35</v>
      </c>
      <c r="L200" s="8">
        <v>1.3333333333333299</v>
      </c>
      <c r="M200" s="8">
        <v>0.48795003647426699</v>
      </c>
      <c r="N200" s="8">
        <v>0.125988157669742</v>
      </c>
      <c r="O200" s="38">
        <v>29</v>
      </c>
      <c r="P200" s="9">
        <v>1.8</v>
      </c>
      <c r="Q200" s="9">
        <v>0.77459666900000002</v>
      </c>
      <c r="R200" s="9">
        <v>0.2</v>
      </c>
      <c r="S200" s="33">
        <v>58</v>
      </c>
      <c r="T200" s="14">
        <v>1.56666666666667</v>
      </c>
      <c r="U200" s="8">
        <v>0.67891055392436295</v>
      </c>
      <c r="V200" s="8">
        <v>0.123951541637567</v>
      </c>
      <c r="W200" s="35">
        <v>0.15682539682539681</v>
      </c>
      <c r="X200" s="30">
        <v>23.779999999999973</v>
      </c>
    </row>
    <row r="201" spans="1:24">
      <c r="A201" s="13">
        <v>196</v>
      </c>
      <c r="B201" s="4"/>
      <c r="C201" s="36">
        <v>0</v>
      </c>
      <c r="D201" s="37">
        <v>6</v>
      </c>
      <c r="E201" s="37">
        <v>9</v>
      </c>
      <c r="F201" s="37">
        <v>11</v>
      </c>
      <c r="G201" s="12">
        <v>176.13</v>
      </c>
      <c r="H201" s="12">
        <v>246.59</v>
      </c>
      <c r="I201" s="12">
        <v>293.55</v>
      </c>
      <c r="J201" s="12">
        <v>330.25</v>
      </c>
      <c r="K201" s="34">
        <v>26</v>
      </c>
      <c r="L201" s="8">
        <v>1.93333333333333</v>
      </c>
      <c r="M201" s="8">
        <v>0.59361683970466395</v>
      </c>
      <c r="N201" s="8">
        <v>0.153271208946963</v>
      </c>
      <c r="O201" s="39">
        <v>18</v>
      </c>
      <c r="P201" s="9">
        <v>2.5333333329999999</v>
      </c>
      <c r="Q201" s="9">
        <v>0.51639777899999995</v>
      </c>
      <c r="R201" s="9">
        <v>0.133333333</v>
      </c>
      <c r="S201" s="33">
        <v>38</v>
      </c>
      <c r="T201" s="14">
        <v>2.2333333333333298</v>
      </c>
      <c r="U201" s="8">
        <v>0.62606231557929204</v>
      </c>
      <c r="V201" s="8">
        <v>0.114302817548899</v>
      </c>
      <c r="W201" s="35">
        <v>2.0317460317460317E-2</v>
      </c>
      <c r="X201" s="30">
        <v>36.699999999999989</v>
      </c>
    </row>
    <row r="202" spans="1:24">
      <c r="A202" s="15">
        <v>197</v>
      </c>
      <c r="B202" s="4"/>
      <c r="C202" s="32">
        <v>0</v>
      </c>
      <c r="D202" s="31">
        <v>6</v>
      </c>
      <c r="E202" s="31">
        <v>9</v>
      </c>
      <c r="F202" s="31">
        <v>12</v>
      </c>
      <c r="G202" s="7">
        <v>172.5</v>
      </c>
      <c r="H202" s="7">
        <v>241.5</v>
      </c>
      <c r="I202" s="7">
        <v>287.51</v>
      </c>
      <c r="J202" s="7">
        <v>345.01</v>
      </c>
      <c r="K202" s="40">
        <v>18</v>
      </c>
      <c r="L202" s="8">
        <v>2.4666666666666699</v>
      </c>
      <c r="M202" s="8">
        <v>0.51639777949432197</v>
      </c>
      <c r="N202" s="8">
        <v>0.133333333333333</v>
      </c>
      <c r="O202" s="38">
        <v>10</v>
      </c>
      <c r="P202" s="9">
        <v>3.0666666669999998</v>
      </c>
      <c r="Q202" s="9">
        <v>0.88371510200000003</v>
      </c>
      <c r="R202" s="9">
        <v>0.22817425799999999</v>
      </c>
      <c r="S202" s="33">
        <v>23</v>
      </c>
      <c r="T202" s="14">
        <v>2.7666666666666702</v>
      </c>
      <c r="U202" s="8">
        <v>0.77385436272766694</v>
      </c>
      <c r="V202" s="8">
        <v>0.14128583022990901</v>
      </c>
      <c r="W202" s="35">
        <v>0.13142857142857142</v>
      </c>
      <c r="X202" s="30">
        <v>46.009999999999991</v>
      </c>
    </row>
    <row r="203" spans="1:24">
      <c r="A203" s="15">
        <v>198</v>
      </c>
      <c r="B203" s="4"/>
      <c r="C203" s="32">
        <v>0</v>
      </c>
      <c r="D203" s="31">
        <v>6</v>
      </c>
      <c r="E203" s="31">
        <v>10</v>
      </c>
      <c r="F203" s="31">
        <v>11</v>
      </c>
      <c r="G203" s="7">
        <v>172.27</v>
      </c>
      <c r="H203" s="7">
        <v>241.17</v>
      </c>
      <c r="I203" s="7">
        <v>310.08</v>
      </c>
      <c r="J203" s="7">
        <v>323</v>
      </c>
      <c r="K203" s="40">
        <v>35</v>
      </c>
      <c r="L203" s="8">
        <v>1.3333333333333299</v>
      </c>
      <c r="M203" s="8">
        <v>0.81649658092772603</v>
      </c>
      <c r="N203" s="8">
        <v>0.21081851067789201</v>
      </c>
      <c r="O203" s="38">
        <v>33</v>
      </c>
      <c r="P203" s="9">
        <v>1.5333333330000001</v>
      </c>
      <c r="Q203" s="9">
        <v>0.51639777899999995</v>
      </c>
      <c r="R203" s="9">
        <v>0.133333333</v>
      </c>
      <c r="S203" s="33">
        <v>62</v>
      </c>
      <c r="T203" s="14">
        <v>1.43333333333333</v>
      </c>
      <c r="U203" s="8">
        <v>0.67891055392436295</v>
      </c>
      <c r="V203" s="8">
        <v>0.123951541637567</v>
      </c>
      <c r="W203" s="35">
        <v>6.0476190476190475E-2</v>
      </c>
      <c r="X203" s="30">
        <v>12.920000000000016</v>
      </c>
    </row>
    <row r="204" spans="1:24">
      <c r="A204" s="15">
        <v>199</v>
      </c>
      <c r="B204" s="4"/>
      <c r="C204" s="32">
        <v>0</v>
      </c>
      <c r="D204" s="31">
        <v>6</v>
      </c>
      <c r="E204" s="31">
        <v>10</v>
      </c>
      <c r="F204" s="31">
        <v>12</v>
      </c>
      <c r="G204" s="7">
        <v>168.79</v>
      </c>
      <c r="H204" s="7">
        <v>236.31</v>
      </c>
      <c r="I204" s="7">
        <v>303.83</v>
      </c>
      <c r="J204" s="7">
        <v>337.59</v>
      </c>
      <c r="K204" s="40">
        <v>26</v>
      </c>
      <c r="L204" s="8">
        <v>1.93333333333333</v>
      </c>
      <c r="M204" s="8">
        <v>0.79880863671797997</v>
      </c>
      <c r="N204" s="8">
        <v>0.206251503121026</v>
      </c>
      <c r="O204" s="38">
        <v>25</v>
      </c>
      <c r="P204" s="9">
        <v>2.0666666669999998</v>
      </c>
      <c r="Q204" s="9">
        <v>0.88371510200000003</v>
      </c>
      <c r="R204" s="9">
        <v>0.22817425799999999</v>
      </c>
      <c r="S204" s="33">
        <v>45</v>
      </c>
      <c r="T204" s="14">
        <v>2</v>
      </c>
      <c r="U204" s="8">
        <v>0.83045479853740001</v>
      </c>
      <c r="V204" s="8">
        <v>0.15161960871578101</v>
      </c>
      <c r="W204" s="35">
        <v>0.39047619047619048</v>
      </c>
      <c r="X204" s="30">
        <v>33.759999999999991</v>
      </c>
    </row>
    <row r="205" spans="1:24">
      <c r="A205" s="15">
        <v>200</v>
      </c>
      <c r="B205" s="4"/>
      <c r="C205" s="32">
        <v>0</v>
      </c>
      <c r="D205" s="31">
        <v>6</v>
      </c>
      <c r="E205" s="31">
        <v>11</v>
      </c>
      <c r="F205" s="31">
        <v>12</v>
      </c>
      <c r="G205" s="7">
        <v>166.78</v>
      </c>
      <c r="H205" s="7">
        <v>233.49</v>
      </c>
      <c r="I205" s="7">
        <v>312.70999999999998</v>
      </c>
      <c r="J205" s="7">
        <v>333.55</v>
      </c>
      <c r="K205" s="40">
        <v>35</v>
      </c>
      <c r="L205" s="8">
        <v>1.3333333333333299</v>
      </c>
      <c r="M205" s="8">
        <v>0.48795003647426699</v>
      </c>
      <c r="N205" s="8">
        <v>0.125988157669742</v>
      </c>
      <c r="O205" s="38">
        <v>31</v>
      </c>
      <c r="P205" s="9">
        <v>1.6666666670000001</v>
      </c>
      <c r="Q205" s="9">
        <v>0.72374686399999999</v>
      </c>
      <c r="R205" s="9">
        <v>0.18687063700000001</v>
      </c>
      <c r="S205" s="33">
        <v>60</v>
      </c>
      <c r="T205" s="14">
        <v>1.5</v>
      </c>
      <c r="U205" s="8">
        <v>0.62972352992240299</v>
      </c>
      <c r="V205" s="8">
        <v>0.11497126077676</v>
      </c>
      <c r="W205" s="35">
        <v>5.095238095238095E-2</v>
      </c>
      <c r="X205" s="30">
        <v>20.840000000000032</v>
      </c>
    </row>
    <row r="206" spans="1:24">
      <c r="A206" s="15">
        <v>201</v>
      </c>
      <c r="B206" s="4"/>
      <c r="C206" s="32">
        <v>0</v>
      </c>
      <c r="D206" s="31">
        <v>7</v>
      </c>
      <c r="E206" s="31">
        <v>8</v>
      </c>
      <c r="F206" s="31">
        <v>9</v>
      </c>
      <c r="G206" s="7">
        <v>181.48</v>
      </c>
      <c r="H206" s="7">
        <v>272.22000000000003</v>
      </c>
      <c r="I206" s="7">
        <v>290.36</v>
      </c>
      <c r="J206" s="7">
        <v>302.45999999999998</v>
      </c>
      <c r="K206" s="40">
        <v>34</v>
      </c>
      <c r="L206" s="8">
        <v>1.4</v>
      </c>
      <c r="M206" s="8">
        <v>0.63245553203367599</v>
      </c>
      <c r="N206" s="8">
        <v>0.163299316185545</v>
      </c>
      <c r="O206" s="31">
        <v>38</v>
      </c>
      <c r="P206" s="9">
        <v>1.2</v>
      </c>
      <c r="Q206" s="9">
        <v>0.41403933599999998</v>
      </c>
      <c r="R206" s="9">
        <v>0.106904497</v>
      </c>
      <c r="S206" s="33">
        <v>66</v>
      </c>
      <c r="T206" s="14">
        <v>1.3</v>
      </c>
      <c r="U206" s="8">
        <v>0.53498308062192401</v>
      </c>
      <c r="V206" s="8">
        <v>9.7674100380077594E-2</v>
      </c>
      <c r="W206" s="35">
        <v>7.4444444444444438E-2</v>
      </c>
      <c r="X206" s="30">
        <v>12.099999999999966</v>
      </c>
    </row>
    <row r="207" spans="1:24">
      <c r="A207" s="15">
        <v>202</v>
      </c>
      <c r="B207" s="4"/>
      <c r="C207" s="32">
        <v>0</v>
      </c>
      <c r="D207" s="31">
        <v>7</v>
      </c>
      <c r="E207" s="31">
        <v>8</v>
      </c>
      <c r="F207" s="31">
        <v>10</v>
      </c>
      <c r="G207" s="7">
        <v>177.38</v>
      </c>
      <c r="H207" s="7">
        <v>266.06</v>
      </c>
      <c r="I207" s="7">
        <v>283.8</v>
      </c>
      <c r="J207" s="7">
        <v>319.27999999999997</v>
      </c>
      <c r="K207" s="40">
        <v>27</v>
      </c>
      <c r="L207" s="8">
        <v>1.86666666666667</v>
      </c>
      <c r="M207" s="8">
        <v>0.63994047342218396</v>
      </c>
      <c r="N207" s="8">
        <v>0.16523191974188101</v>
      </c>
      <c r="O207" s="38">
        <v>21</v>
      </c>
      <c r="P207" s="9">
        <v>2.3333333330000001</v>
      </c>
      <c r="Q207" s="9">
        <v>0.48795003599999998</v>
      </c>
      <c r="R207" s="9">
        <v>0.12598815799999999</v>
      </c>
      <c r="S207" s="33">
        <v>42</v>
      </c>
      <c r="T207" s="14">
        <v>2.1</v>
      </c>
      <c r="U207" s="8">
        <v>0.60742531824198698</v>
      </c>
      <c r="V207" s="8">
        <v>0.11090018293363001</v>
      </c>
      <c r="W207" s="35">
        <v>0.22222222222222221</v>
      </c>
      <c r="X207" s="30">
        <v>17.740000000000009</v>
      </c>
    </row>
    <row r="208" spans="1:24">
      <c r="A208" s="15">
        <v>203</v>
      </c>
      <c r="B208" s="4"/>
      <c r="C208" s="32">
        <v>0</v>
      </c>
      <c r="D208" s="31">
        <v>7</v>
      </c>
      <c r="E208" s="31">
        <v>8</v>
      </c>
      <c r="F208" s="31">
        <v>11</v>
      </c>
      <c r="G208" s="7">
        <v>175.15</v>
      </c>
      <c r="H208" s="7">
        <v>262.72000000000003</v>
      </c>
      <c r="I208" s="7">
        <v>280.24</v>
      </c>
      <c r="J208" s="7">
        <v>328.41</v>
      </c>
      <c r="K208" s="40">
        <v>32</v>
      </c>
      <c r="L208" s="8">
        <v>1.5333333333333301</v>
      </c>
      <c r="M208" s="8">
        <v>0.51639777949432197</v>
      </c>
      <c r="N208" s="8">
        <v>0.133333333333333</v>
      </c>
      <c r="O208" s="38">
        <v>20</v>
      </c>
      <c r="P208" s="9">
        <v>2.4</v>
      </c>
      <c r="Q208" s="9">
        <v>0.63245553200000004</v>
      </c>
      <c r="R208" s="9">
        <v>0.163299316</v>
      </c>
      <c r="S208" s="33">
        <v>46</v>
      </c>
      <c r="T208" s="14">
        <v>1.9666666666666699</v>
      </c>
      <c r="U208" s="8">
        <v>0.71839540228413801</v>
      </c>
      <c r="V208" s="8">
        <v>0.13116045567967399</v>
      </c>
      <c r="W208" s="35">
        <v>5.5833333333333332E-2</v>
      </c>
      <c r="X208" s="30">
        <v>17.519999999999982</v>
      </c>
    </row>
    <row r="209" spans="1:24">
      <c r="A209" s="13">
        <v>204</v>
      </c>
      <c r="B209" s="4" t="s">
        <v>49</v>
      </c>
      <c r="C209" s="36">
        <v>0</v>
      </c>
      <c r="D209" s="37">
        <v>7</v>
      </c>
      <c r="E209" s="37">
        <v>8</v>
      </c>
      <c r="F209" s="37">
        <v>12</v>
      </c>
      <c r="G209" s="12">
        <v>171.56</v>
      </c>
      <c r="H209" s="12">
        <v>257.33999999999997</v>
      </c>
      <c r="I209" s="12">
        <v>274.5</v>
      </c>
      <c r="J209" s="12">
        <v>343.12</v>
      </c>
      <c r="K209" s="34">
        <v>21</v>
      </c>
      <c r="L209" s="20">
        <v>2.2666666666666702</v>
      </c>
      <c r="M209" s="20">
        <v>0.79880863671797997</v>
      </c>
      <c r="N209" s="20">
        <v>0.206251503121026</v>
      </c>
      <c r="O209" s="37">
        <v>7</v>
      </c>
      <c r="P209" s="19">
        <v>3.3333333330000001</v>
      </c>
      <c r="Q209" s="19">
        <v>0.61721340000000002</v>
      </c>
      <c r="R209" s="19">
        <v>0.15936381499999999</v>
      </c>
      <c r="S209" s="33">
        <v>22</v>
      </c>
      <c r="T209" s="14">
        <v>2.8</v>
      </c>
      <c r="U209" s="8">
        <v>0.88668308687587205</v>
      </c>
      <c r="V209" s="8">
        <v>0.16188544268007601</v>
      </c>
      <c r="W209" s="35">
        <v>0.18333333333333332</v>
      </c>
      <c r="X209" s="30">
        <v>17.160000000000025</v>
      </c>
    </row>
    <row r="210" spans="1:24">
      <c r="A210" s="15">
        <v>205</v>
      </c>
      <c r="B210" s="4"/>
      <c r="C210" s="32">
        <v>0</v>
      </c>
      <c r="D210" s="31">
        <v>7</v>
      </c>
      <c r="E210" s="31">
        <v>9</v>
      </c>
      <c r="F210" s="31">
        <v>10</v>
      </c>
      <c r="G210" s="7">
        <v>175.39</v>
      </c>
      <c r="H210" s="7">
        <v>263.08999999999997</v>
      </c>
      <c r="I210" s="7">
        <v>292.32</v>
      </c>
      <c r="J210" s="7">
        <v>315.70999999999998</v>
      </c>
      <c r="K210" s="40">
        <v>29</v>
      </c>
      <c r="L210" s="8">
        <v>1.7333333333333301</v>
      </c>
      <c r="M210" s="8">
        <v>0.59361683970466395</v>
      </c>
      <c r="N210" s="8">
        <v>0.153271208946963</v>
      </c>
      <c r="O210" s="38">
        <v>27</v>
      </c>
      <c r="P210" s="9">
        <v>1.933333333</v>
      </c>
      <c r="Q210" s="9">
        <v>0.70373155099999996</v>
      </c>
      <c r="R210" s="9">
        <v>0.18170270499999999</v>
      </c>
      <c r="S210" s="33">
        <v>50</v>
      </c>
      <c r="T210" s="14">
        <v>1.8333333333333299</v>
      </c>
      <c r="U210" s="8">
        <v>0.64771925236560401</v>
      </c>
      <c r="V210" s="8">
        <v>0.118256815150341</v>
      </c>
      <c r="W210" s="35">
        <v>7.2592592592592597E-2</v>
      </c>
      <c r="X210" s="30">
        <v>23.389999999999986</v>
      </c>
    </row>
    <row r="211" spans="1:24">
      <c r="A211" s="15">
        <v>206</v>
      </c>
      <c r="B211" s="4"/>
      <c r="C211" s="32">
        <v>0</v>
      </c>
      <c r="D211" s="31">
        <v>7</v>
      </c>
      <c r="E211" s="31">
        <v>9</v>
      </c>
      <c r="F211" s="31">
        <v>11</v>
      </c>
      <c r="G211" s="7">
        <v>173.22</v>
      </c>
      <c r="H211" s="7">
        <v>259.83</v>
      </c>
      <c r="I211" s="7">
        <v>288.7</v>
      </c>
      <c r="J211" s="7">
        <v>324.77999999999997</v>
      </c>
      <c r="K211" s="40">
        <v>26</v>
      </c>
      <c r="L211" s="8">
        <v>1.93333333333333</v>
      </c>
      <c r="M211" s="8">
        <v>0.70373155054899705</v>
      </c>
      <c r="N211" s="8">
        <v>0.181702705031799</v>
      </c>
      <c r="O211" s="38">
        <v>19</v>
      </c>
      <c r="P211" s="9">
        <v>2.4666666670000001</v>
      </c>
      <c r="Q211" s="9">
        <v>0.83380938800000004</v>
      </c>
      <c r="R211" s="9">
        <v>0.21528865799999999</v>
      </c>
      <c r="S211" s="33">
        <v>39</v>
      </c>
      <c r="T211" s="14">
        <v>2.2000000000000002</v>
      </c>
      <c r="U211" s="8">
        <v>0.80515579987289798</v>
      </c>
      <c r="V211" s="8">
        <v>0.14700066463216699</v>
      </c>
      <c r="W211" s="35">
        <v>8.8888888888888892E-2</v>
      </c>
      <c r="X211" s="30">
        <v>28.870000000000005</v>
      </c>
    </row>
    <row r="212" spans="1:24">
      <c r="A212" s="13">
        <v>207</v>
      </c>
      <c r="B212" s="4" t="s">
        <v>50</v>
      </c>
      <c r="C212" s="36">
        <v>0</v>
      </c>
      <c r="D212" s="37">
        <v>7</v>
      </c>
      <c r="E212" s="37">
        <v>9</v>
      </c>
      <c r="F212" s="37">
        <v>12</v>
      </c>
      <c r="G212" s="12">
        <v>169.71</v>
      </c>
      <c r="H212" s="12">
        <v>254.56</v>
      </c>
      <c r="I212" s="12">
        <v>282.83999999999997</v>
      </c>
      <c r="J212" s="12">
        <v>339.41</v>
      </c>
      <c r="K212" s="34">
        <v>12</v>
      </c>
      <c r="L212" s="8">
        <v>2.8666666666666698</v>
      </c>
      <c r="M212" s="8">
        <v>1.12546286774228</v>
      </c>
      <c r="N212" s="8">
        <v>0.29059326290271198</v>
      </c>
      <c r="O212" s="39">
        <v>8</v>
      </c>
      <c r="P212" s="9">
        <v>3.2</v>
      </c>
      <c r="Q212" s="9">
        <v>0.77459666900000002</v>
      </c>
      <c r="R212" s="9">
        <v>0.2</v>
      </c>
      <c r="S212" s="33">
        <v>15</v>
      </c>
      <c r="T212" s="14">
        <v>3.0333333333333301</v>
      </c>
      <c r="U212" s="8">
        <v>0.96430547933280197</v>
      </c>
      <c r="V212" s="8">
        <v>0.176057287785469</v>
      </c>
      <c r="W212" s="35">
        <v>0.28888888888888886</v>
      </c>
      <c r="X212" s="30">
        <v>28.279999999999973</v>
      </c>
    </row>
    <row r="213" spans="1:24">
      <c r="A213" s="15">
        <v>208</v>
      </c>
      <c r="B213" s="4"/>
      <c r="C213" s="32">
        <v>0</v>
      </c>
      <c r="D213" s="31">
        <v>7</v>
      </c>
      <c r="E213" s="31">
        <v>10</v>
      </c>
      <c r="F213" s="31">
        <v>11</v>
      </c>
      <c r="G213" s="7">
        <v>169.48</v>
      </c>
      <c r="H213" s="7">
        <v>254.22</v>
      </c>
      <c r="I213" s="7">
        <v>305.06</v>
      </c>
      <c r="J213" s="7">
        <v>317.77</v>
      </c>
      <c r="K213" s="40">
        <v>34</v>
      </c>
      <c r="L213" s="8">
        <v>1.4</v>
      </c>
      <c r="M213" s="8">
        <v>0.50709255283710997</v>
      </c>
      <c r="N213" s="8">
        <v>0.13093073414159501</v>
      </c>
      <c r="O213" s="31">
        <v>30</v>
      </c>
      <c r="P213" s="9">
        <v>1.733333333</v>
      </c>
      <c r="Q213" s="9">
        <v>0.79880863700000004</v>
      </c>
      <c r="R213" s="9">
        <v>0.206251503</v>
      </c>
      <c r="S213" s="33">
        <v>58</v>
      </c>
      <c r="T213" s="14">
        <v>1.56666666666667</v>
      </c>
      <c r="U213" s="8">
        <v>0.67891055392436295</v>
      </c>
      <c r="V213" s="8">
        <v>0.123951541637567</v>
      </c>
      <c r="W213" s="35">
        <v>5.4444444444444441E-2</v>
      </c>
      <c r="X213" s="30">
        <v>12.70999999999998</v>
      </c>
    </row>
    <row r="214" spans="1:24">
      <c r="A214" s="13">
        <v>209</v>
      </c>
      <c r="B214" s="4" t="s">
        <v>44</v>
      </c>
      <c r="C214" s="36">
        <v>0</v>
      </c>
      <c r="D214" s="37">
        <v>7</v>
      </c>
      <c r="E214" s="37">
        <v>10</v>
      </c>
      <c r="F214" s="37">
        <v>12</v>
      </c>
      <c r="G214" s="12">
        <v>166.11</v>
      </c>
      <c r="H214" s="12">
        <v>249.17</v>
      </c>
      <c r="I214" s="12">
        <v>299.01</v>
      </c>
      <c r="J214" s="12">
        <v>332.23</v>
      </c>
      <c r="K214" s="34">
        <v>18</v>
      </c>
      <c r="L214" s="8">
        <v>2.4666666666666699</v>
      </c>
      <c r="M214" s="8">
        <v>0.51639777949432197</v>
      </c>
      <c r="N214" s="8">
        <v>0.133333333333333</v>
      </c>
      <c r="O214" s="37">
        <v>20</v>
      </c>
      <c r="P214" s="9">
        <v>2.4</v>
      </c>
      <c r="Q214" s="9">
        <v>0.985610761</v>
      </c>
      <c r="R214" s="9">
        <v>0.25448360399999997</v>
      </c>
      <c r="S214" s="33">
        <v>32</v>
      </c>
      <c r="T214" s="14">
        <v>2.43333333333333</v>
      </c>
      <c r="U214" s="8">
        <v>0.77385436272766694</v>
      </c>
      <c r="V214" s="8">
        <v>0.14128583022990901</v>
      </c>
      <c r="W214" s="35">
        <v>0.17777777777777778</v>
      </c>
      <c r="X214" s="30">
        <v>33.220000000000027</v>
      </c>
    </row>
    <row r="215" spans="1:24">
      <c r="A215" s="13">
        <v>210</v>
      </c>
      <c r="B215" s="4" t="s">
        <v>28</v>
      </c>
      <c r="C215" s="36">
        <v>0</v>
      </c>
      <c r="D215" s="37">
        <v>7</v>
      </c>
      <c r="E215" s="37">
        <v>11</v>
      </c>
      <c r="F215" s="37">
        <v>12</v>
      </c>
      <c r="G215" s="12">
        <v>164.16</v>
      </c>
      <c r="H215" s="12">
        <v>246.24</v>
      </c>
      <c r="I215" s="12">
        <v>307.8</v>
      </c>
      <c r="J215" s="12">
        <v>328.32</v>
      </c>
      <c r="K215" s="34">
        <v>19</v>
      </c>
      <c r="L215" s="8">
        <v>2.4</v>
      </c>
      <c r="M215" s="8">
        <v>0.82807867121082501</v>
      </c>
      <c r="N215" s="8">
        <v>0.21380899352994001</v>
      </c>
      <c r="O215" s="39">
        <v>24</v>
      </c>
      <c r="P215" s="9">
        <v>2.1333333329999999</v>
      </c>
      <c r="Q215" s="9">
        <v>0.74322335299999998</v>
      </c>
      <c r="R215" s="9">
        <v>0.191899445</v>
      </c>
      <c r="S215" s="33">
        <v>37</v>
      </c>
      <c r="T215" s="14">
        <v>2.2666666666666702</v>
      </c>
      <c r="U215" s="8">
        <v>0.78491525276490104</v>
      </c>
      <c r="V215" s="8">
        <v>0.143305263223069</v>
      </c>
      <c r="W215" s="35">
        <v>0.21666666666666667</v>
      </c>
      <c r="X215" s="30">
        <v>20.519999999999982</v>
      </c>
    </row>
    <row r="216" spans="1:24">
      <c r="A216" s="15">
        <v>211</v>
      </c>
      <c r="B216" s="4"/>
      <c r="C216" s="32">
        <v>0</v>
      </c>
      <c r="D216" s="31">
        <v>8</v>
      </c>
      <c r="E216" s="31">
        <v>9</v>
      </c>
      <c r="F216" s="31">
        <v>10</v>
      </c>
      <c r="G216" s="7">
        <v>172.5</v>
      </c>
      <c r="H216" s="7">
        <v>276.01</v>
      </c>
      <c r="I216" s="7">
        <v>287.51</v>
      </c>
      <c r="J216" s="7">
        <v>310.51</v>
      </c>
      <c r="K216" s="40">
        <v>37</v>
      </c>
      <c r="L216" s="8">
        <v>1.2</v>
      </c>
      <c r="M216" s="8">
        <v>0.41403933560541301</v>
      </c>
      <c r="N216" s="8">
        <v>0.10690449676497001</v>
      </c>
      <c r="O216" s="38">
        <v>37</v>
      </c>
      <c r="P216" s="9">
        <v>1.266666667</v>
      </c>
      <c r="Q216" s="9">
        <v>0.45773770800000002</v>
      </c>
      <c r="R216" s="9">
        <v>0.118187368</v>
      </c>
      <c r="S216" s="33">
        <v>68</v>
      </c>
      <c r="T216" s="14">
        <v>1.2333333333333301</v>
      </c>
      <c r="U216" s="8">
        <v>0.43018306715207599</v>
      </c>
      <c r="V216" s="8">
        <v>7.8540323245317303E-2</v>
      </c>
      <c r="W216" s="35">
        <v>0.15259259259259259</v>
      </c>
      <c r="X216" s="30">
        <v>11.5</v>
      </c>
    </row>
    <row r="217" spans="1:24">
      <c r="A217" s="13">
        <v>212</v>
      </c>
      <c r="B217" s="4"/>
      <c r="C217" s="36">
        <v>0</v>
      </c>
      <c r="D217" s="37">
        <v>8</v>
      </c>
      <c r="E217" s="37">
        <v>9</v>
      </c>
      <c r="F217" s="37">
        <v>11</v>
      </c>
      <c r="G217" s="12">
        <v>170.4</v>
      </c>
      <c r="H217" s="12">
        <v>272.63</v>
      </c>
      <c r="I217" s="12">
        <v>283.99</v>
      </c>
      <c r="J217" s="12">
        <v>319.49</v>
      </c>
      <c r="K217" s="34">
        <v>38</v>
      </c>
      <c r="L217" s="8">
        <v>1.13333333333333</v>
      </c>
      <c r="M217" s="8">
        <v>0.35186577527449803</v>
      </c>
      <c r="N217" s="8">
        <v>9.0851352515899597E-2</v>
      </c>
      <c r="O217" s="39">
        <v>29</v>
      </c>
      <c r="P217" s="9">
        <v>1.8</v>
      </c>
      <c r="Q217" s="9">
        <v>0.67612340400000004</v>
      </c>
      <c r="R217" s="9">
        <v>0.17457431200000001</v>
      </c>
      <c r="S217" s="33">
        <v>61</v>
      </c>
      <c r="T217" s="14">
        <v>1.4666666666666699</v>
      </c>
      <c r="U217" s="8">
        <v>0.62881022482985705</v>
      </c>
      <c r="V217" s="8">
        <v>0.114804514843069</v>
      </c>
      <c r="W217" s="35">
        <v>1.9722222222222221E-2</v>
      </c>
      <c r="X217" s="30">
        <v>11.360000000000014</v>
      </c>
    </row>
    <row r="218" spans="1:24">
      <c r="A218" s="15">
        <v>213</v>
      </c>
      <c r="B218" s="4"/>
      <c r="C218" s="32">
        <v>0</v>
      </c>
      <c r="D218" s="31">
        <v>8</v>
      </c>
      <c r="E218" s="31">
        <v>9</v>
      </c>
      <c r="F218" s="31">
        <v>12</v>
      </c>
      <c r="G218" s="7">
        <v>167</v>
      </c>
      <c r="H218" s="7">
        <v>267.2</v>
      </c>
      <c r="I218" s="7">
        <v>278.33</v>
      </c>
      <c r="J218" s="7">
        <v>334</v>
      </c>
      <c r="K218" s="40">
        <v>36</v>
      </c>
      <c r="L218" s="8">
        <v>1.2666666666666699</v>
      </c>
      <c r="M218" s="8">
        <v>0.457737708217063</v>
      </c>
      <c r="N218" s="8">
        <v>0.118187368057056</v>
      </c>
      <c r="O218" s="31">
        <v>35</v>
      </c>
      <c r="P218" s="9">
        <v>1.4</v>
      </c>
      <c r="Q218" s="9">
        <v>0.507092553</v>
      </c>
      <c r="R218" s="9">
        <v>0.13093073399999999</v>
      </c>
      <c r="S218" s="33">
        <v>65</v>
      </c>
      <c r="T218" s="14">
        <v>1.3333333333333299</v>
      </c>
      <c r="U218" s="8">
        <v>0.47946330148538402</v>
      </c>
      <c r="V218" s="8">
        <v>8.7537621906481705E-2</v>
      </c>
      <c r="W218" s="35">
        <v>0.12666666666666668</v>
      </c>
      <c r="X218" s="30">
        <v>11.129999999999995</v>
      </c>
    </row>
    <row r="219" spans="1:24">
      <c r="A219" s="15">
        <v>214</v>
      </c>
      <c r="B219" s="4"/>
      <c r="C219" s="32">
        <v>0</v>
      </c>
      <c r="D219" s="31">
        <v>8</v>
      </c>
      <c r="E219" s="31">
        <v>10</v>
      </c>
      <c r="F219" s="31">
        <v>11</v>
      </c>
      <c r="G219" s="7">
        <v>166.78</v>
      </c>
      <c r="H219" s="7">
        <v>266.83999999999997</v>
      </c>
      <c r="I219" s="7">
        <v>300.2</v>
      </c>
      <c r="J219" s="7">
        <v>312.70999999999998</v>
      </c>
      <c r="K219" s="40">
        <v>37</v>
      </c>
      <c r="L219" s="8">
        <v>1.2</v>
      </c>
      <c r="M219" s="8">
        <v>0.41403933560541301</v>
      </c>
      <c r="N219" s="8">
        <v>0.10690449676497001</v>
      </c>
      <c r="O219" s="31">
        <v>36</v>
      </c>
      <c r="P219" s="9">
        <v>1.3333333329999999</v>
      </c>
      <c r="Q219" s="9">
        <v>0.48795003599999998</v>
      </c>
      <c r="R219" s="9">
        <v>0.12598815799999999</v>
      </c>
      <c r="S219" s="33">
        <v>67</v>
      </c>
      <c r="T219" s="14">
        <v>1.2666666666666699</v>
      </c>
      <c r="U219" s="8">
        <v>0.44977644510880399</v>
      </c>
      <c r="V219" s="8">
        <v>8.2117568273525302E-2</v>
      </c>
      <c r="W219" s="35">
        <v>5.8888888888888886E-2</v>
      </c>
      <c r="X219" s="30">
        <v>12.509999999999991</v>
      </c>
    </row>
    <row r="220" spans="1:24">
      <c r="A220" s="15">
        <v>215</v>
      </c>
      <c r="B220" s="4"/>
      <c r="C220" s="32">
        <v>0</v>
      </c>
      <c r="D220" s="31">
        <v>8</v>
      </c>
      <c r="E220" s="31">
        <v>10</v>
      </c>
      <c r="F220" s="31">
        <v>12</v>
      </c>
      <c r="G220" s="7">
        <v>163.52000000000001</v>
      </c>
      <c r="H220" s="7">
        <v>261.63</v>
      </c>
      <c r="I220" s="7">
        <v>294.33</v>
      </c>
      <c r="J220" s="7">
        <v>327.04000000000002</v>
      </c>
      <c r="K220" s="40">
        <v>20</v>
      </c>
      <c r="L220" s="8">
        <v>2.3333333333333299</v>
      </c>
      <c r="M220" s="8">
        <v>0.61721339984836798</v>
      </c>
      <c r="N220" s="8">
        <v>0.15936381457791901</v>
      </c>
      <c r="O220" s="38">
        <v>24</v>
      </c>
      <c r="P220" s="9">
        <v>2.1333333329999999</v>
      </c>
      <c r="Q220" s="9">
        <v>0.91547541600000004</v>
      </c>
      <c r="R220" s="9">
        <v>0.236374736</v>
      </c>
      <c r="S220" s="33">
        <v>38</v>
      </c>
      <c r="T220" s="14">
        <v>2.2333333333333298</v>
      </c>
      <c r="U220" s="8">
        <v>0.77385436272766694</v>
      </c>
      <c r="V220" s="8">
        <v>0.14128583022990901</v>
      </c>
      <c r="W220" s="35">
        <v>0.37777777777777777</v>
      </c>
      <c r="X220" s="30">
        <v>32.699999999999989</v>
      </c>
    </row>
    <row r="221" spans="1:24">
      <c r="A221" s="13">
        <v>216</v>
      </c>
      <c r="B221" s="4"/>
      <c r="C221" s="36">
        <v>0</v>
      </c>
      <c r="D221" s="37">
        <v>8</v>
      </c>
      <c r="E221" s="37">
        <v>11</v>
      </c>
      <c r="F221" s="37">
        <v>12</v>
      </c>
      <c r="G221" s="12">
        <v>161.62</v>
      </c>
      <c r="H221" s="12">
        <v>258.60000000000002</v>
      </c>
      <c r="I221" s="12">
        <v>303.05</v>
      </c>
      <c r="J221" s="12">
        <v>323.25</v>
      </c>
      <c r="K221" s="34">
        <v>35</v>
      </c>
      <c r="L221" s="8">
        <v>1.3333333333333299</v>
      </c>
      <c r="M221" s="8">
        <v>0.48795003647426699</v>
      </c>
      <c r="N221" s="8">
        <v>0.125988157669742</v>
      </c>
      <c r="O221" s="39">
        <v>31</v>
      </c>
      <c r="P221" s="9">
        <v>1.6666666670000001</v>
      </c>
      <c r="Q221" s="9">
        <v>0.61721340000000002</v>
      </c>
      <c r="R221" s="9">
        <v>0.15936381499999999</v>
      </c>
      <c r="S221" s="33">
        <v>60</v>
      </c>
      <c r="T221" s="14">
        <v>1.5</v>
      </c>
      <c r="U221" s="8">
        <v>0.572351471472339</v>
      </c>
      <c r="V221" s="8">
        <v>0.104496603915558</v>
      </c>
      <c r="W221" s="35">
        <v>4.9166666666666664E-2</v>
      </c>
      <c r="X221" s="30">
        <v>20.199999999999989</v>
      </c>
    </row>
    <row r="222" spans="1:24">
      <c r="A222" s="15">
        <v>217</v>
      </c>
      <c r="B222" s="4"/>
      <c r="C222" s="32">
        <v>0</v>
      </c>
      <c r="D222" s="31">
        <v>9</v>
      </c>
      <c r="E222" s="31">
        <v>10</v>
      </c>
      <c r="F222" s="31">
        <v>11</v>
      </c>
      <c r="G222" s="7">
        <v>165.02</v>
      </c>
      <c r="H222" s="7">
        <v>275.04000000000002</v>
      </c>
      <c r="I222" s="7">
        <v>297.04000000000002</v>
      </c>
      <c r="J222" s="7">
        <v>309.42</v>
      </c>
      <c r="K222" s="40">
        <v>38</v>
      </c>
      <c r="L222" s="8">
        <v>1.13333333333333</v>
      </c>
      <c r="M222" s="8">
        <v>0.35186577527449803</v>
      </c>
      <c r="N222" s="8">
        <v>9.0851352515899597E-2</v>
      </c>
      <c r="O222" s="38">
        <v>38</v>
      </c>
      <c r="P222" s="9">
        <v>1.2</v>
      </c>
      <c r="Q222" s="9">
        <v>0.41403933599999998</v>
      </c>
      <c r="R222" s="9">
        <v>0.106904497</v>
      </c>
      <c r="S222" s="33">
        <v>70</v>
      </c>
      <c r="T222" s="14">
        <v>1.1666666666666701</v>
      </c>
      <c r="U222" s="8">
        <v>0.37904902178945199</v>
      </c>
      <c r="V222" s="8">
        <v>6.9204566544783297E-2</v>
      </c>
      <c r="W222" s="35">
        <v>1.9259259259259261E-2</v>
      </c>
      <c r="X222" s="30">
        <v>12.379999999999995</v>
      </c>
    </row>
    <row r="223" spans="1:24">
      <c r="A223" s="13">
        <v>218</v>
      </c>
      <c r="B223" s="4"/>
      <c r="C223" s="36">
        <v>0</v>
      </c>
      <c r="D223" s="37">
        <v>9</v>
      </c>
      <c r="E223" s="37">
        <v>10</v>
      </c>
      <c r="F223" s="37">
        <v>12</v>
      </c>
      <c r="G223" s="12">
        <v>161.83000000000001</v>
      </c>
      <c r="H223" s="12">
        <v>269.72000000000003</v>
      </c>
      <c r="I223" s="12">
        <v>291.3</v>
      </c>
      <c r="J223" s="12">
        <v>323.67</v>
      </c>
      <c r="K223" s="34">
        <v>34</v>
      </c>
      <c r="L223" s="8">
        <v>1.4</v>
      </c>
      <c r="M223" s="8">
        <v>0.50709255283710997</v>
      </c>
      <c r="N223" s="8">
        <v>0.13093073414159501</v>
      </c>
      <c r="O223" s="36">
        <v>27</v>
      </c>
      <c r="P223" s="9">
        <v>1.933333333</v>
      </c>
      <c r="Q223" s="9">
        <v>0.96115010499999998</v>
      </c>
      <c r="R223" s="9">
        <v>0.24816789</v>
      </c>
      <c r="S223" s="33">
        <v>55</v>
      </c>
      <c r="T223" s="14">
        <v>1.6666666666666701</v>
      </c>
      <c r="U223" s="8">
        <v>0.80229555708575395</v>
      </c>
      <c r="V223" s="8">
        <v>0.146478458134014</v>
      </c>
      <c r="W223" s="35">
        <v>0.12296296296296297</v>
      </c>
      <c r="X223" s="30">
        <v>21.579999999999984</v>
      </c>
    </row>
    <row r="224" spans="1:24">
      <c r="A224" s="15">
        <v>219</v>
      </c>
      <c r="B224" s="4"/>
      <c r="C224" s="32">
        <v>0</v>
      </c>
      <c r="D224" s="31">
        <v>9</v>
      </c>
      <c r="E224" s="31">
        <v>11</v>
      </c>
      <c r="F224" s="31">
        <v>12</v>
      </c>
      <c r="G224" s="7">
        <v>159.97999999999999</v>
      </c>
      <c r="H224" s="7">
        <v>266.63</v>
      </c>
      <c r="I224" s="7">
        <v>299.95999999999998</v>
      </c>
      <c r="J224" s="7">
        <v>319.95999999999998</v>
      </c>
      <c r="K224" s="40">
        <v>26</v>
      </c>
      <c r="L224" s="8">
        <v>1.93333333333333</v>
      </c>
      <c r="M224" s="8">
        <v>0.70373155054899705</v>
      </c>
      <c r="N224" s="8">
        <v>0.181702705031799</v>
      </c>
      <c r="O224" s="32">
        <v>29</v>
      </c>
      <c r="P224" s="9">
        <v>1.8</v>
      </c>
      <c r="Q224" s="9">
        <v>0.861891607</v>
      </c>
      <c r="R224" s="9">
        <v>0.222539456</v>
      </c>
      <c r="S224" s="33">
        <v>49</v>
      </c>
      <c r="T224" s="14">
        <v>1.86666666666667</v>
      </c>
      <c r="U224" s="8">
        <v>0.77607915226136104</v>
      </c>
      <c r="V224" s="8">
        <v>0.141692019367678</v>
      </c>
      <c r="W224" s="35">
        <v>7.7777777777777779E-2</v>
      </c>
      <c r="X224" s="30">
        <v>20</v>
      </c>
    </row>
    <row r="225" spans="1:24">
      <c r="A225" s="15">
        <v>220</v>
      </c>
      <c r="B225" s="4"/>
      <c r="C225" s="32">
        <v>0</v>
      </c>
      <c r="D225" s="31">
        <v>10</v>
      </c>
      <c r="E225" s="31">
        <v>11</v>
      </c>
      <c r="F225" s="31">
        <v>12</v>
      </c>
      <c r="G225" s="7">
        <v>156.78</v>
      </c>
      <c r="H225" s="7">
        <v>282.20999999999998</v>
      </c>
      <c r="I225" s="7">
        <v>293.97000000000003</v>
      </c>
      <c r="J225" s="7">
        <v>313.56</v>
      </c>
      <c r="K225" s="40">
        <v>37</v>
      </c>
      <c r="L225" s="8">
        <v>1.2</v>
      </c>
      <c r="M225" s="8">
        <v>0.41403933560541301</v>
      </c>
      <c r="N225" s="8">
        <v>0.10690449676497001</v>
      </c>
      <c r="O225" s="32">
        <v>34</v>
      </c>
      <c r="P225" s="9">
        <v>1.4666666669999999</v>
      </c>
      <c r="Q225" s="9">
        <v>0.83380938800000004</v>
      </c>
      <c r="R225" s="9">
        <v>0.21528865799999999</v>
      </c>
      <c r="S225" s="33">
        <v>65</v>
      </c>
      <c r="T225" s="14">
        <v>1.3333333333333299</v>
      </c>
      <c r="U225" s="8">
        <v>0.66089455225126703</v>
      </c>
      <c r="V225" s="8">
        <v>0.120662284800098</v>
      </c>
      <c r="W225" s="35">
        <v>4.777777777777778E-2</v>
      </c>
      <c r="X225" s="30">
        <v>11.760000000000048</v>
      </c>
    </row>
  </sheetData>
  <mergeCells count="10">
    <mergeCell ref="A1:X2"/>
    <mergeCell ref="A3:A4"/>
    <mergeCell ref="B3:B4"/>
    <mergeCell ref="C3:F4"/>
    <mergeCell ref="G3:J4"/>
    <mergeCell ref="K3:N4"/>
    <mergeCell ref="O3:R4"/>
    <mergeCell ref="S3:V4"/>
    <mergeCell ref="W3:W5"/>
    <mergeCell ref="X3:X5"/>
  </mergeCells>
  <phoneticPr fontId="13" type="noConversion"/>
  <pageMargins left="0.75" right="0.75" top="1" bottom="1" header="0.5" footer="0.5"/>
  <pageSetup fitToHeight="5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dyads</vt:lpstr>
      <vt:lpstr>triads</vt:lpstr>
      <vt:lpstr>tetrads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Bowling</dc:creator>
  <cp:lastModifiedBy>Daniel Bowling</cp:lastModifiedBy>
  <cp:lastPrinted>2017-06-15T11:11:24Z</cp:lastPrinted>
  <dcterms:created xsi:type="dcterms:W3CDTF">2017-04-12T20:08:06Z</dcterms:created>
  <dcterms:modified xsi:type="dcterms:W3CDTF">2017-11-20T16:45:46Z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52b6d976-7b13-48bb-9f90-1491a6efae02</vt:lpwstr>
  </property>
</Properties>
</file>